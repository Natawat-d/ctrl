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ู้น้ำ" sheetId="1" state="visible" r:id="rId1"/>
    <sheet xmlns:r="http://schemas.openxmlformats.org/officeDocument/2006/relationships" name="ตู้ไฟ" sheetId="2" state="visible" r:id="rId2"/>
    <sheet xmlns:r="http://schemas.openxmlformats.org/officeDocument/2006/relationships" name="รวมทั้งหม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elawadee"/>
      <b val="1"/>
      <color rgb="001F3864"/>
      <sz val="14"/>
    </font>
    <font>
      <name val="Leelawadee"/>
      <color rgb="00808080"/>
      <sz val="9"/>
    </font>
    <font>
      <name val="Leelawadee"/>
      <b val="1"/>
      <color rgb="00FFFFFF"/>
      <sz val="9.5"/>
    </font>
    <font>
      <name val="Leelawadee"/>
      <b val="1"/>
      <color rgb="00000000"/>
      <sz val="10"/>
    </font>
    <font>
      <name val="Leelawadee"/>
      <color rgb="00444444"/>
      <sz val="8.5"/>
    </font>
    <font>
      <name val="Leelawadee"/>
      <color rgb="00000000"/>
      <sz val="9.5"/>
    </font>
    <font>
      <name val="Leelawadee"/>
      <color rgb="00000000"/>
      <sz val="9"/>
    </font>
    <font>
      <name val="Leelawadee"/>
      <b val="1"/>
      <color rgb="00000000"/>
      <sz val="9.5"/>
    </font>
    <font>
      <name val="Leelawadee"/>
      <color rgb="000563C1"/>
      <sz val="9"/>
      <u val="single"/>
    </font>
    <font>
      <name val="Leelawadee"/>
      <b val="1"/>
      <color rgb="00000000"/>
      <sz val="11"/>
    </font>
    <font>
      <name val="Leelawadee"/>
      <b val="1"/>
      <color rgb="00000000"/>
      <sz val="12"/>
    </font>
    <font>
      <name val="Leelawadee"/>
      <b val="1"/>
      <color rgb="00000000"/>
      <sz val="13"/>
    </font>
    <font>
      <name val="Leelawadee"/>
      <b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4" fontId="8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4" fontId="10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4" fontId="12" fillId="5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iexpress.com/wholesale?SearchText=STM32H743VIT6%20board%20WeAct" TargetMode="External" Id="rId1"/><Relationship Type="http://schemas.openxmlformats.org/officeDocument/2006/relationships/hyperlink" Target="https://www.aliexpress.com/wholesale?SearchText=micro%20sd%20card%2032gb%20class10" TargetMode="External" Id="rId2"/><Relationship Type="http://schemas.openxmlformats.org/officeDocument/2006/relationships/hyperlink" Target="https://jlcpcb.com/" TargetMode="External" Id="rId3"/><Relationship Type="http://schemas.openxmlformats.org/officeDocument/2006/relationships/hyperlink" Target="https://th.aliexpress.com/item/4000459030365.html" TargetMode="External" Id="rId4"/><Relationship Type="http://schemas.openxmlformats.org/officeDocument/2006/relationships/hyperlink" Target="https://www.aliexpress.com/wholesale?SearchText=W5500%20ethernet%20module" TargetMode="External" Id="rId5"/><Relationship Type="http://schemas.openxmlformats.org/officeDocument/2006/relationships/hyperlink" Target="https://th.aliexpress.com/item/1005005043308550.html" TargetMode="External" Id="rId6"/><Relationship Type="http://schemas.openxmlformats.org/officeDocument/2006/relationships/hyperlink" Target="https://www.aliexpress.com/wholesale?SearchText=LCD%201604%20i2c%2016x4" TargetMode="External" Id="rId7"/><Relationship Type="http://schemas.openxmlformats.org/officeDocument/2006/relationships/hyperlink" Target="https://shopee.co.th/search?keyword=MEAN%20WELL%20MDR-60-24" TargetMode="External" Id="rId8"/><Relationship Type="http://schemas.openxmlformats.org/officeDocument/2006/relationships/hyperlink" Target="https://shopee.co.th/search?keyword=MEAN%20WELL%20MDR-20-5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liexpress.com/wholesale?SearchText=STM32H743VIT6%20board%20WeAct" TargetMode="External" Id="rId1"/><Relationship Type="http://schemas.openxmlformats.org/officeDocument/2006/relationships/hyperlink" Target="https://www.aliexpress.com/wholesale?SearchText=micro%20sd%20card%2032gb%20class10" TargetMode="External" Id="rId2"/><Relationship Type="http://schemas.openxmlformats.org/officeDocument/2006/relationships/hyperlink" Target="https://jlcpcb.com/" TargetMode="External" Id="rId3"/><Relationship Type="http://schemas.openxmlformats.org/officeDocument/2006/relationships/hyperlink" Target="https://www.aliexpress.com/wholesale?SearchText=W5500%20ethernet%20module" TargetMode="External" Id="rId4"/><Relationship Type="http://schemas.openxmlformats.org/officeDocument/2006/relationships/hyperlink" Target="https://th.aliexpress.com/item/1005005043308550.html" TargetMode="External" Id="rId5"/><Relationship Type="http://schemas.openxmlformats.org/officeDocument/2006/relationships/hyperlink" Target="https://www.aliexpress.com/wholesale?SearchText=LCD%201604%20i2c%2016x4" TargetMode="External" Id="rId6"/><Relationship Type="http://schemas.openxmlformats.org/officeDocument/2006/relationships/hyperlink" Target="https://shopee.co.th/search?keyword=MEAN%20WELL%20MDR-60-24" TargetMode="External" Id="rId7"/><Relationship Type="http://schemas.openxmlformats.org/officeDocument/2006/relationships/hyperlink" Target="https://shopee.co.th/search?keyword=MEAN%20WELL%20MDR-20-5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th.aliexpress.com/item/1005009752166886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7" customWidth="1" min="4" max="4"/>
    <col width="7" customWidth="1" min="5" max="5"/>
    <col width="13" customWidth="1" min="6" max="6"/>
    <col width="13" customWidth="1" min="7" max="7"/>
    <col width="16" customWidth="1" min="8" max="8"/>
  </cols>
  <sheetData>
    <row r="1">
      <c r="B1" s="1" t="inlineStr">
        <is>
          <t>ตู้น้ำ (Water) — ตู้ควบคุมวัดน้ำ STM32</t>
        </is>
      </c>
    </row>
    <row r="2">
      <c r="B2" s="2" t="inlineStr">
        <is>
          <t>อ่านพัลส์มิเตอร์น้ำ 16 ตัว · ช่องเหลือง = แก้ราคาได้ · รวมคำนวณอัตโนมัติ · ส.ค. 2026 · THB</t>
        </is>
      </c>
    </row>
    <row r="4">
      <c r="B4" s="3" t="inlineStr">
        <is>
          <t>รายการ</t>
        </is>
      </c>
      <c r="C4" s="3" t="inlineStr">
        <is>
          <t>สเปก / รุ่น</t>
        </is>
      </c>
      <c r="D4" s="3" t="inlineStr">
        <is>
          <t>จำนวน</t>
        </is>
      </c>
      <c r="E4" s="3" t="inlineStr">
        <is>
          <t>หน่วย</t>
        </is>
      </c>
      <c r="F4" s="3" t="inlineStr">
        <is>
          <t>ราคา/หน่วย (฿)</t>
        </is>
      </c>
      <c r="G4" s="3" t="inlineStr">
        <is>
          <t>รวม (฿)</t>
        </is>
      </c>
      <c r="H4" s="3" t="inlineStr">
        <is>
          <t>ลิงก์</t>
        </is>
      </c>
    </row>
    <row r="5">
      <c r="B5" s="4" t="inlineStr">
        <is>
          <t>STM32H743VIT6 core board</t>
        </is>
      </c>
      <c r="C5" s="5" t="inlineStr">
        <is>
          <t>WeAct MiniSTM32H743 · มี microSD slot · LQFP100</t>
        </is>
      </c>
      <c r="D5" s="6" t="n">
        <v>1</v>
      </c>
      <c r="E5" s="7" t="inlineStr">
        <is>
          <t>บอร์ด</t>
        </is>
      </c>
      <c r="F5" s="8" t="n">
        <v>450</v>
      </c>
      <c r="G5" s="9">
        <f>D5*F5</f>
        <v/>
      </c>
      <c r="H5" s="10" t="inlineStr">
        <is>
          <t>ค้นหา</t>
        </is>
      </c>
    </row>
    <row r="6">
      <c r="B6" s="11" t="inlineStr">
        <is>
          <t>microSD card 32GB</t>
        </is>
      </c>
      <c r="C6" s="12" t="inlineStr">
        <is>
          <t>เก็บ log/ค่ามิเตอร์ · class10</t>
        </is>
      </c>
      <c r="D6" s="13" t="n">
        <v>1</v>
      </c>
      <c r="E6" s="14" t="inlineStr">
        <is>
          <t>ใบ</t>
        </is>
      </c>
      <c r="F6" s="15" t="n">
        <v>130</v>
      </c>
      <c r="G6" s="16">
        <f>D6*F6</f>
        <v/>
      </c>
      <c r="H6" s="17" t="inlineStr">
        <is>
          <t>ค้นหา</t>
        </is>
      </c>
    </row>
    <row r="7">
      <c r="B7" s="4" t="inlineStr">
        <is>
          <t>Custom PCB (ออกแบบเอง)</t>
        </is>
      </c>
      <c r="C7" s="5" t="inlineStr">
        <is>
          <t>รวม STM32+opto+LAN+RS485+LCD+PSU · JLCPCB/PCBWay</t>
        </is>
      </c>
      <c r="D7" s="6" t="n">
        <v>1</v>
      </c>
      <c r="E7" s="7" t="inlineStr">
        <is>
          <t>ชุด</t>
        </is>
      </c>
      <c r="F7" s="8" t="n">
        <v>1000</v>
      </c>
      <c r="G7" s="9">
        <f>D7*F7</f>
        <v/>
      </c>
      <c r="H7" s="10" t="inlineStr">
        <is>
          <t>เปิดลิงก์ ✓</t>
        </is>
      </c>
    </row>
    <row r="8">
      <c r="B8" s="11" t="inlineStr">
        <is>
          <t>Optocoupler Isolation 16CH</t>
        </is>
      </c>
      <c r="C8" s="12" t="inlineStr">
        <is>
          <t>input 24V → output 3.3V · 16 ช่อง (ลิงก์จริง)</t>
        </is>
      </c>
      <c r="D8" s="13" t="n">
        <v>1</v>
      </c>
      <c r="E8" s="14" t="inlineStr">
        <is>
          <t>บอร์ด</t>
        </is>
      </c>
      <c r="F8" s="15" t="n">
        <v>679.95</v>
      </c>
      <c r="G8" s="16">
        <f>D8*F8</f>
        <v/>
      </c>
      <c r="H8" s="17" t="inlineStr">
        <is>
          <t>เปิดลิงก์ ✓</t>
        </is>
      </c>
    </row>
    <row r="9">
      <c r="B9" s="4" t="inlineStr">
        <is>
          <t>LAN module W5500</t>
        </is>
      </c>
      <c r="C9" s="5" t="inlineStr">
        <is>
          <t>Ethernet SPI (มี TCP ในตัว)</t>
        </is>
      </c>
      <c r="D9" s="6" t="n">
        <v>1</v>
      </c>
      <c r="E9" s="7" t="inlineStr">
        <is>
          <t>ตัว</t>
        </is>
      </c>
      <c r="F9" s="8" t="n">
        <v>120</v>
      </c>
      <c r="G9" s="9">
        <f>D9*F9</f>
        <v/>
      </c>
      <c r="H9" s="10" t="inlineStr">
        <is>
          <t>ค้นหา</t>
        </is>
      </c>
    </row>
    <row r="10">
      <c r="B10" s="11" t="inlineStr">
        <is>
          <t>TTL → RS485 (auto)</t>
        </is>
      </c>
      <c r="C10" s="12" t="inlineStr">
        <is>
          <t>โมดูล RS485 (ลิงก์ที่เลือก)</t>
        </is>
      </c>
      <c r="D10" s="13" t="n">
        <v>1</v>
      </c>
      <c r="E10" s="14" t="inlineStr">
        <is>
          <t>ตัว</t>
        </is>
      </c>
      <c r="F10" s="15" t="n">
        <v>35</v>
      </c>
      <c r="G10" s="16">
        <f>D10*F10</f>
        <v/>
      </c>
      <c r="H10" s="17" t="inlineStr">
        <is>
          <t>เปิดลิงก์ ✓</t>
        </is>
      </c>
    </row>
    <row r="11">
      <c r="B11" s="4" t="inlineStr">
        <is>
          <t>LCD 16×4 + I2C</t>
        </is>
      </c>
      <c r="C11" s="5" t="inlineStr">
        <is>
          <t>จอ 16 คอลัมน์ 4 แถว · I2C</t>
        </is>
      </c>
      <c r="D11" s="6" t="n">
        <v>1</v>
      </c>
      <c r="E11" s="7" t="inlineStr">
        <is>
          <t>ชุด</t>
        </is>
      </c>
      <c r="F11" s="8" t="n">
        <v>130</v>
      </c>
      <c r="G11" s="9">
        <f>D11*F11</f>
        <v/>
      </c>
      <c r="H11" s="10" t="inlineStr">
        <is>
          <t>ค้นหา</t>
        </is>
      </c>
    </row>
    <row r="12">
      <c r="B12" s="11" t="inlineStr">
        <is>
          <t>PSU 24V DIN</t>
        </is>
      </c>
      <c r="C12" s="12" t="inlineStr">
        <is>
          <t>MEAN WELL MDR-60-24 แท้ (Shopee) · เกรดดีกว่าโคลน</t>
        </is>
      </c>
      <c r="D12" s="13" t="n">
        <v>1</v>
      </c>
      <c r="E12" s="14" t="inlineStr">
        <is>
          <t>ตัว</t>
        </is>
      </c>
      <c r="F12" s="15" t="n">
        <v>850</v>
      </c>
      <c r="G12" s="16">
        <f>D12*F12</f>
        <v/>
      </c>
      <c r="H12" s="17" t="inlineStr">
        <is>
          <t>เปิดลิงก์ ✓</t>
        </is>
      </c>
    </row>
    <row r="13">
      <c r="B13" s="4" t="inlineStr">
        <is>
          <t>PSU 5V DIN</t>
        </is>
      </c>
      <c r="C13" s="5" t="inlineStr">
        <is>
          <t>MEAN WELL MDR-20-5 แท้ (Shopee)</t>
        </is>
      </c>
      <c r="D13" s="6" t="n">
        <v>1</v>
      </c>
      <c r="E13" s="7" t="inlineStr">
        <is>
          <t>ตัว</t>
        </is>
      </c>
      <c r="F13" s="8" t="n">
        <v>645</v>
      </c>
      <c r="G13" s="9">
        <f>D13*F13</f>
        <v/>
      </c>
      <c r="H13" s="10" t="inlineStr">
        <is>
          <t>เปิดลิงก์ ✓</t>
        </is>
      </c>
    </row>
    <row r="14">
      <c r="B14" s="18" t="inlineStr">
        <is>
          <t>รวมตู้น้ำ (อุปกรณ์)</t>
        </is>
      </c>
      <c r="C14" s="19" t="inlineStr"/>
      <c r="D14" s="19" t="inlineStr"/>
      <c r="E14" s="19" t="inlineStr"/>
      <c r="F14" s="19" t="inlineStr"/>
      <c r="G14" s="20">
        <f>SUM(G5:G13)</f>
        <v/>
      </c>
      <c r="H14" s="19" t="inlineStr"/>
    </row>
    <row r="16">
      <c r="B16" s="2" t="inlineStr">
        <is>
          <t>+ Sensor น้ำ (มิเตอร์พัลส์ 2หุน ×16) แยกไว้หน้า 'รวมทั้งหมด' · opto 16CH in24V→out3.3V · ไม่มี PSU 3.3V (STM32 reg ในตัว)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0" customWidth="1" min="3" max="3"/>
    <col width="7" customWidth="1" min="4" max="4"/>
    <col width="7" customWidth="1" min="5" max="5"/>
    <col width="13" customWidth="1" min="6" max="6"/>
    <col width="13" customWidth="1" min="7" max="7"/>
    <col width="16" customWidth="1" min="8" max="8"/>
  </cols>
  <sheetData>
    <row r="1">
      <c r="B1" s="1" t="inlineStr">
        <is>
          <t>ตู้ไฟ (Electric) — ตู้ควบคุมวัดไฟ STM32</t>
        </is>
      </c>
    </row>
    <row r="2">
      <c r="B2" s="2" t="inlineStr">
        <is>
          <t>เหมือนตู้น้ำ · ตัด opto ออก (มิเตอร์ไฟ RS485 ต่อตรง) · แก้ราคาช่องเหลือง · THB</t>
        </is>
      </c>
    </row>
    <row r="4">
      <c r="B4" s="3" t="inlineStr">
        <is>
          <t>รายการ</t>
        </is>
      </c>
      <c r="C4" s="3" t="inlineStr">
        <is>
          <t>สเปก / รุ่น</t>
        </is>
      </c>
      <c r="D4" s="3" t="inlineStr">
        <is>
          <t>จำนวน</t>
        </is>
      </c>
      <c r="E4" s="3" t="inlineStr">
        <is>
          <t>หน่วย</t>
        </is>
      </c>
      <c r="F4" s="3" t="inlineStr">
        <is>
          <t>ราคา/หน่วย (฿)</t>
        </is>
      </c>
      <c r="G4" s="3" t="inlineStr">
        <is>
          <t>รวม (฿)</t>
        </is>
      </c>
      <c r="H4" s="3" t="inlineStr">
        <is>
          <t>ลิงก์</t>
        </is>
      </c>
    </row>
    <row r="5">
      <c r="B5" s="4" t="inlineStr">
        <is>
          <t>STM32H743VIT6 core board</t>
        </is>
      </c>
      <c r="C5" s="5" t="inlineStr">
        <is>
          <t>เหมือนตู้น้ำ</t>
        </is>
      </c>
      <c r="D5" s="6" t="n">
        <v>1</v>
      </c>
      <c r="E5" s="7" t="inlineStr">
        <is>
          <t>บอร์ด</t>
        </is>
      </c>
      <c r="F5" s="8" t="n">
        <v>450</v>
      </c>
      <c r="G5" s="9">
        <f>D5*F5</f>
        <v/>
      </c>
      <c r="H5" s="10" t="inlineStr">
        <is>
          <t>ค้นหา</t>
        </is>
      </c>
    </row>
    <row r="6">
      <c r="B6" s="11" t="inlineStr">
        <is>
          <t>microSD card 32GB</t>
        </is>
      </c>
      <c r="C6" s="12" t="inlineStr">
        <is>
          <t>เหมือนตู้น้ำ</t>
        </is>
      </c>
      <c r="D6" s="13" t="n">
        <v>1</v>
      </c>
      <c r="E6" s="14" t="inlineStr">
        <is>
          <t>ใบ</t>
        </is>
      </c>
      <c r="F6" s="15" t="n">
        <v>130</v>
      </c>
      <c r="G6" s="16">
        <f>D6*F6</f>
        <v/>
      </c>
      <c r="H6" s="17" t="inlineStr">
        <is>
          <t>ค้นหา</t>
        </is>
      </c>
    </row>
    <row r="7">
      <c r="B7" s="4" t="inlineStr">
        <is>
          <t>Custom PCB (ออกแบบเอง)</t>
        </is>
      </c>
      <c r="C7" s="5" t="inlineStr">
        <is>
          <t>เหมือนตู้น้ำ (ไม่มีวง opto)</t>
        </is>
      </c>
      <c r="D7" s="6" t="n">
        <v>1</v>
      </c>
      <c r="E7" s="7" t="inlineStr">
        <is>
          <t>ชุด</t>
        </is>
      </c>
      <c r="F7" s="8" t="n">
        <v>1000</v>
      </c>
      <c r="G7" s="9">
        <f>D7*F7</f>
        <v/>
      </c>
      <c r="H7" s="10" t="inlineStr">
        <is>
          <t>เปิดลิงก์ ✓</t>
        </is>
      </c>
    </row>
    <row r="8">
      <c r="B8" s="11" t="inlineStr">
        <is>
          <t>LAN module W5500</t>
        </is>
      </c>
      <c r="C8" s="12" t="inlineStr">
        <is>
          <t>เหมือนตู้น้ำ</t>
        </is>
      </c>
      <c r="D8" s="13" t="n">
        <v>1</v>
      </c>
      <c r="E8" s="14" t="inlineStr">
        <is>
          <t>ตัว</t>
        </is>
      </c>
      <c r="F8" s="15" t="n">
        <v>120</v>
      </c>
      <c r="G8" s="16">
        <f>D8*F8</f>
        <v/>
      </c>
      <c r="H8" s="17" t="inlineStr">
        <is>
          <t>ค้นหา</t>
        </is>
      </c>
    </row>
    <row r="9">
      <c r="B9" s="4" t="inlineStr">
        <is>
          <t>TTL → RS485 (auto)</t>
        </is>
      </c>
      <c r="C9" s="5" t="inlineStr">
        <is>
          <t>มิเตอร์ไฟ RS485 Modbus (DDS238) ต่อผ่านนี้ (ลิงก์ที่เลือก)</t>
        </is>
      </c>
      <c r="D9" s="6" t="n">
        <v>1</v>
      </c>
      <c r="E9" s="7" t="inlineStr">
        <is>
          <t>ตัว</t>
        </is>
      </c>
      <c r="F9" s="8" t="n">
        <v>35</v>
      </c>
      <c r="G9" s="9">
        <f>D9*F9</f>
        <v/>
      </c>
      <c r="H9" s="10" t="inlineStr">
        <is>
          <t>เปิดลิงก์ ✓</t>
        </is>
      </c>
    </row>
    <row r="10">
      <c r="B10" s="11" t="inlineStr">
        <is>
          <t>LCD 16×4 + I2C</t>
        </is>
      </c>
      <c r="C10" s="12" t="inlineStr">
        <is>
          <t>เหมือนตู้น้ำ</t>
        </is>
      </c>
      <c r="D10" s="13" t="n">
        <v>1</v>
      </c>
      <c r="E10" s="14" t="inlineStr">
        <is>
          <t>ชุด</t>
        </is>
      </c>
      <c r="F10" s="15" t="n">
        <v>130</v>
      </c>
      <c r="G10" s="16">
        <f>D10*F10</f>
        <v/>
      </c>
      <c r="H10" s="17" t="inlineStr">
        <is>
          <t>ค้นหา</t>
        </is>
      </c>
    </row>
    <row r="11">
      <c r="B11" s="4" t="inlineStr">
        <is>
          <t>PSU 24V DIN</t>
        </is>
      </c>
      <c r="C11" s="5" t="inlineStr">
        <is>
          <t>MEAN WELL MDR-60-24 แท้ (Shopee)</t>
        </is>
      </c>
      <c r="D11" s="6" t="n">
        <v>1</v>
      </c>
      <c r="E11" s="7" t="inlineStr">
        <is>
          <t>ตัว</t>
        </is>
      </c>
      <c r="F11" s="8" t="n">
        <v>850</v>
      </c>
      <c r="G11" s="9">
        <f>D11*F11</f>
        <v/>
      </c>
      <c r="H11" s="10" t="inlineStr">
        <is>
          <t>เปิดลิงก์ ✓</t>
        </is>
      </c>
    </row>
    <row r="12">
      <c r="B12" s="11" t="inlineStr">
        <is>
          <t>PSU 5V DIN</t>
        </is>
      </c>
      <c r="C12" s="12" t="inlineStr">
        <is>
          <t>MEAN WELL MDR-20-5 แท้ (Shopee)</t>
        </is>
      </c>
      <c r="D12" s="13" t="n">
        <v>1</v>
      </c>
      <c r="E12" s="14" t="inlineStr">
        <is>
          <t>ตัว</t>
        </is>
      </c>
      <c r="F12" s="15" t="n">
        <v>645</v>
      </c>
      <c r="G12" s="16">
        <f>D12*F12</f>
        <v/>
      </c>
      <c r="H12" s="17" t="inlineStr">
        <is>
          <t>เปิดลิงก์ ✓</t>
        </is>
      </c>
    </row>
    <row r="13">
      <c r="B13" s="18" t="inlineStr">
        <is>
          <t>รวมตู้ไฟ (อุปกรณ์)</t>
        </is>
      </c>
      <c r="C13" s="19" t="inlineStr"/>
      <c r="D13" s="19" t="inlineStr"/>
      <c r="E13" s="19" t="inlineStr"/>
      <c r="F13" s="19" t="inlineStr"/>
      <c r="G13" s="20">
        <f>SUM(G5:G12)</f>
        <v/>
      </c>
      <c r="H13" s="19" t="inlineStr"/>
    </row>
    <row r="15">
      <c r="B15" s="2" t="inlineStr">
        <is>
          <t>+ Sensor ไฟ (มิเตอร์ DDS238 RS485) ยังไม่รวม — เพิ่มทีหลัง · ไม่มี opto/พัลส์ ที่เหลือเหมือนตู้น้ำ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4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15" customWidth="1" min="5" max="5"/>
    <col width="18" customWidth="1" min="6" max="6"/>
  </cols>
  <sheetData>
    <row r="1">
      <c r="B1" s="1" t="inlineStr">
        <is>
          <t>สรุปราคารวม — ตู้น้ำ + ตู้ไฟ + Sensor น้ำ</t>
        </is>
      </c>
    </row>
    <row r="2">
      <c r="B2" s="2" t="inlineStr">
        <is>
          <t>ยอดดึงจากหน้าตู้อัตโนมัติ · แก้ราคา sensor ในช่องเหลืองได้ · ไม่รวมส่ง/VAT/enclosure</t>
        </is>
      </c>
    </row>
    <row r="4">
      <c r="B4" s="21" t="inlineStr">
        <is>
          <t>รายการ</t>
        </is>
      </c>
      <c r="C4" s="21" t="inlineStr">
        <is>
          <t>จำนวน</t>
        </is>
      </c>
      <c r="D4" s="21" t="inlineStr">
        <is>
          <t>ราคา/หน่วย (฿)</t>
        </is>
      </c>
      <c r="E4" s="21" t="inlineStr">
        <is>
          <t>รวม (฿)</t>
        </is>
      </c>
      <c r="F4" s="21" t="inlineStr">
        <is>
          <t>ลิงก์/หมายเหตุ</t>
        </is>
      </c>
    </row>
    <row r="5">
      <c r="B5" s="22" t="inlineStr">
        <is>
          <t>ตู้น้ำ (อุปกรณ์)</t>
        </is>
      </c>
      <c r="C5" s="23" t="inlineStr">
        <is>
          <t>1 ตู้</t>
        </is>
      </c>
      <c r="D5" s="24" t="inlineStr">
        <is>
          <t>-</t>
        </is>
      </c>
      <c r="E5" s="25">
        <f>'ตู้น้ำ'!G14</f>
        <v/>
      </c>
      <c r="F5" s="26" t="inlineStr">
        <is>
          <t>หน้า 'ตู้น้ำ'</t>
        </is>
      </c>
    </row>
    <row r="6">
      <c r="B6" s="22" t="inlineStr">
        <is>
          <t>ตู้ไฟ (อุปกรณ์)</t>
        </is>
      </c>
      <c r="C6" s="23" t="inlineStr">
        <is>
          <t>1 ตู้</t>
        </is>
      </c>
      <c r="D6" s="24" t="inlineStr">
        <is>
          <t>-</t>
        </is>
      </c>
      <c r="E6" s="25">
        <f>'ตู้ไฟ'!G13</f>
        <v/>
      </c>
      <c r="F6" s="26" t="inlineStr">
        <is>
          <t>หน้า 'ตู้ไฟ'</t>
        </is>
      </c>
    </row>
    <row r="7">
      <c r="B7" s="27" t="inlineStr">
        <is>
          <t>มิเตอร์น้ำพัลส์ NPN 2หุน (⚠ แก้ราคาจริงจากลิงก์)</t>
        </is>
      </c>
      <c r="C7" s="6" t="n">
        <v>16</v>
      </c>
      <c r="D7" s="15" t="n">
        <v>350</v>
      </c>
      <c r="E7" s="9">
        <f>C7*D7</f>
        <v/>
      </c>
      <c r="F7" s="10" t="inlineStr">
        <is>
          <t>เปิดลิงก์ ✓</t>
        </is>
      </c>
    </row>
    <row r="8">
      <c r="B8" s="28" t="inlineStr">
        <is>
          <t>รวมทั้งหมด</t>
        </is>
      </c>
      <c r="C8" s="19" t="inlineStr"/>
      <c r="D8" s="19" t="inlineStr"/>
      <c r="E8" s="29">
        <f>SUM(E5:E7)</f>
        <v/>
      </c>
      <c r="F8" s="19" t="inlineStr"/>
    </row>
    <row r="10">
      <c r="B10" s="30" t="inlineStr">
        <is>
          <t>■ ช่องสีเหลือง = 'ราคา/หน่วย' แก้ได้ตรง ๆ → รวมทุกหน้าอัปเดตอัตโนมัติ (เป็นสูตร Excel)</t>
        </is>
      </c>
      <c r="C10" s="31" t="n"/>
      <c r="D10" s="31" t="n"/>
      <c r="E10" s="31" t="n"/>
      <c r="F10" s="32" t="n"/>
    </row>
    <row r="11">
      <c r="B11" s="30" t="inlineStr">
        <is>
          <t>■ ยอดรวมนี้ 'ยังไม่รวม กล่อง (ตู้ enclosure) และ สาย' — เพิ่มทีหลัง</t>
        </is>
      </c>
      <c r="C11" s="31" t="n"/>
      <c r="D11" s="31" t="n"/>
      <c r="E11" s="31" t="n"/>
      <c r="F11" s="32" t="n"/>
    </row>
    <row r="12">
      <c r="B12" s="30" t="inlineStr">
        <is>
          <t>■ PSU อัปเกรดเป็น MEAN WELL แท้ (Shopee): MDR-60-24 (850฿) + MDR-20-5 (645฿) ต่อตู้ — ทนกว่าโคลน</t>
        </is>
      </c>
      <c r="C12" s="31" t="n"/>
      <c r="D12" s="31" t="n"/>
      <c r="E12" s="31" t="n"/>
      <c r="F12" s="32" t="n"/>
    </row>
    <row r="13">
      <c r="B13" s="30" t="inlineStr">
        <is>
          <t>■ ตู้ไฟ = เหมือนตู้น้ำ 'ตัด opto' — มิเตอร์ไฟ DDS238 เป็น RS485 Modbus · Sensor ไฟ ยังไม่รวม</t>
        </is>
      </c>
      <c r="C13" s="31" t="n"/>
      <c r="D13" s="31" t="n"/>
      <c r="E13" s="31" t="n"/>
      <c r="F13" s="32" t="n"/>
    </row>
    <row r="14">
      <c r="B14" s="30" t="inlineStr">
        <is>
          <t>■ opto 16CH = 679.95฿ (จากลิงก์) · มิเตอร์น้ำ 2หุน = ใส่ประมาณ 350฿ · TTL-RS485 35฿ — เปิดลิงก์เช็คแล้วแก้ช่องเหลือง</t>
        </is>
      </c>
      <c r="C14" s="31" t="n"/>
      <c r="D14" s="31" t="n"/>
      <c r="E14" s="31" t="n"/>
      <c r="F14" s="32" t="n"/>
    </row>
  </sheetData>
  <mergeCells count="5">
    <mergeCell ref="B12:F12"/>
    <mergeCell ref="B10:F10"/>
    <mergeCell ref="B11:F11"/>
    <mergeCell ref="B14:F14"/>
    <mergeCell ref="B13:F13"/>
  </mergeCells>
  <hyperlinks>
    <hyperlink xmlns:r="http://schemas.openxmlformats.org/officeDocument/2006/relationships" ref="F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2026-08-11T11:14:19Z</dcterms:created>
  <dcterms:modified xmlns:dcterms="http://purl.org/dc/terms/" xmlns:xsi="http://www.w3.org/2001/XMLSchema-instance" xsi:type="dcterms:W3CDTF">2026-08-11T11:14:19Z</dcterms:modified>
</cp:coreProperties>
</file>