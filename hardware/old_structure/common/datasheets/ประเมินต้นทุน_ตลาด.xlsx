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rkara_smart_electric\datasheets\"/>
    </mc:Choice>
  </mc:AlternateContent>
  <xr:revisionPtr revIDLastSave="0" documentId="13_ncr:1_{98531416-AF6E-4499-BBBB-55325A670F1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ต้นทุนต่อแผง" sheetId="1" r:id="rId1"/>
    <sheet name="รวมทั้งตลาด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D15" i="2" l="1"/>
  <c r="C15" i="2"/>
  <c r="D14" i="2"/>
  <c r="B15" i="2"/>
  <c r="B14" i="2"/>
  <c r="C14" i="2"/>
</calcChain>
</file>

<file path=xl/sharedStrings.xml><?xml version="1.0" encoding="utf-8"?>
<sst xmlns="http://schemas.openxmlformats.org/spreadsheetml/2006/main" count="84" uniqueCount="63">
  <si>
    <t>ต้นทุนต่อ 1 แผง (Node) — ชุดที่เหมาะสม (1 เฟส · Mesh ไร้สาย)</t>
  </si>
  <si>
    <t>ราคาโดยประมาณในไทย · “ไฟล์ ✓” = อ้างอิงเปรียบเทียบราคามิเตอร์.xlsx · “ประมาณ” = ประเมิน</t>
  </si>
  <si>
    <t>รายการ</t>
  </si>
  <si>
    <t>สเปก / หน้าที่</t>
  </si>
  <si>
    <t>ราคา (฿)</t>
  </si>
  <si>
    <t>ที่มา</t>
  </si>
  <si>
    <t>ESP32-WROOM-32U (MCU)</t>
  </si>
  <si>
    <t>ตัวประมวลผล + Mesh (มีขั้วเสา U.FL)</t>
  </si>
  <si>
    <t>ประมาณ</t>
  </si>
  <si>
    <t>เสาอากาศ 2.4GHz นอกกล่อง</t>
  </si>
  <si>
    <t>เสา 3dBi + pigtail IPEX→RP-SMA + bulkhead</t>
  </si>
  <si>
    <t>PZEM-016</t>
  </si>
  <si>
    <t>มิเตอร์ไฟ 1 เฟส 100A · Modbus</t>
  </si>
  <si>
    <t>ไฟล์ ✓</t>
  </si>
  <si>
    <t>RS485 module (MAX3485)</t>
  </si>
  <si>
    <t>ต่อ PZEM → ESP32</t>
  </si>
  <si>
    <t>มิเตอร์น้ำ Pulse output DN15</t>
  </si>
  <si>
    <t>วัดน้ำ · นับพัลส์เข้า GPIO</t>
  </si>
  <si>
    <t>Relay Module 2–4 ช่อง</t>
  </si>
  <si>
    <t>ขับคอนแทกเตอร์ + วาล์ว + พัดลม</t>
  </si>
  <si>
    <t>Magnetic Contactor</t>
  </si>
  <si>
    <t>ตัดไฟแผง (18–25A)</t>
  </si>
  <si>
    <t>Motorized Ball Valve DN20 (2-wire)</t>
  </si>
  <si>
    <t>ตัดน้ำแผง · ค้างตำแหน่ง</t>
  </si>
  <si>
    <t>Power Supply 220V → 5V + 12V</t>
  </si>
  <si>
    <t>เลี้ยง ESP32 + จอ + พัดลม + วาล์ว</t>
  </si>
  <si>
    <t>จอ LCD 2004 (20×4) + I2C</t>
  </si>
  <si>
    <t>บอกน้ำ-ไฟหน้างาน (kWh/m³)</t>
  </si>
  <si>
    <t>พัดลมระบายความร้อน 12V + ตะแกรง</t>
  </si>
  <si>
    <t>ระบายความร้อนในตู้ (อากาศร้อน)</t>
  </si>
  <si>
    <t>ซิงค์ระบายความร้อน ESP32 + เทป</t>
  </si>
  <si>
    <t>ลดความร้อนชิป ESP</t>
  </si>
  <si>
    <t>เซนเซอร์อุณหภูมิ DS18B20</t>
  </si>
  <si>
    <t>คุมพัดลมอัตโนมัติ + รายงานขึ้น mesh</t>
  </si>
  <si>
    <t>กล่อง IP65 (ใส่ระบบทั้งหมด + ช่องจอ)</t>
  </si>
  <si>
    <t>ตู้กันน้ำ ~400×300×180 มม.</t>
  </si>
  <si>
    <t>สายไฟ AC / DC / สัญญาณ</t>
  </si>
  <si>
    <t>สายเมน + สาย DC + สายสัญญาณ</t>
  </si>
  <si>
    <t>DIN rail + terminal + wire duct + เคเบิลไทร์</t>
  </si>
  <si>
    <t>จัดสาย/ยึดอุปกรณ์ในตู้</t>
  </si>
  <si>
    <t>ตัวยึด/สกรู/ยึดผนัง + MCB ย่อย 1P</t>
  </si>
  <si>
    <t>ยึดกล่อง + เบรกเกอร์ป้องกัน node</t>
  </si>
  <si>
    <t>รวมต่อ 1 แผง (Node)</t>
  </si>
  <si>
    <t>ต้นทุนรวมทั้งตลาด — 10 / 20 / 30 แผง</t>
  </si>
  <si>
    <t>ตลาด 300 ตร.ม. (15×20) · ~10 ตร.ม./แผง · แผงห่างกันไม่กี่เมตร → ESP-NOW mesh เสถียร ไม่ต้องใช้ LoRa</t>
  </si>
  <si>
    <t>อุปกรณ์กลาง (Infrastructure) — ยังไม่รวมในยอด (เพิ่มภายหลัง: main / gateway / server)</t>
  </si>
  <si>
    <t>หมายเหตุ</t>
  </si>
  <si>
    <t>ตู้เมน MDB + Main Breaker (เมนตลาด)</t>
  </si>
  <si>
    <t>main 1 ตัว · MCCB + busbar (ตามโหลดรวม)</t>
  </si>
  <si>
    <t>รอกำหนด spec</t>
  </si>
  <si>
    <t>Gateway: ESP32-WROOM-32U + 4G router + SIM</t>
  </si>
  <si>
    <t>จุดออกเน็ต 1 จุด (ถ้ามี WiFi ตลาดอยู่แล้ว)</t>
  </si>
  <si>
    <t>ตั้งเซิร์ฟเวอร์เอง ครั้งเดียว (หรือ cloud รายเดือน)</t>
  </si>
  <si>
    <t>สายเมน + กราวด์ + เบ็ดเตล็ดกลาง</t>
  </si>
  <si>
    <t>เดินเมนจาก MDB ไปแต่ละแผง</t>
  </si>
  <si>
    <t>รวม Infrastructure — รอกำหนด spec ก่อน (ยังไม่คิดราคา)</t>
  </si>
  <si>
    <t>สรุปต้นทุนเฉพาะ Node (ยังไม่รวมอุปกรณ์กลาง)</t>
  </si>
  <si>
    <t>10 แผง</t>
  </si>
  <si>
    <t>20 แผง</t>
  </si>
  <si>
    <t>30 แผง</t>
  </si>
  <si>
    <t>ต้นทุนต่อแผง (฿)</t>
  </si>
  <si>
    <t>รวมเฉพาะ node (× จำนวน)</t>
  </si>
  <si>
    <t>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</si>
</sst>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scheme val="minor"/>
    </font>
    <font>
      <b/>
      <sz val="15"/>
      <color rgb="FF15202A"/>
      <name val="Tahoma"/>
    </font>
    <font>
      <i/>
      <sz val="9"/>
      <color rgb="FF6B7D87"/>
      <name val="Tahoma"/>
    </font>
    <font>
      <b/>
      <sz val="10"/>
      <color rgb="FFFFFFFF"/>
      <name val="Tahoma"/>
    </font>
    <font>
      <b/>
      <sz val="10"/>
      <color rgb="FF1F2A33"/>
      <name val="Tahoma"/>
    </font>
    <font>
      <sz val="10"/>
      <color rgb="FF1F2A33"/>
      <name val="Tahoma"/>
    </font>
    <font>
      <b/>
      <sz val="11"/>
      <color rgb="FFFFFFFF"/>
      <name val="Tahoma"/>
    </font>
  </fonts>
  <fills count="6">
    <fill>
      <patternFill patternType="none"/>
    </fill>
    <fill>
      <patternFill patternType="gray125"/>
    </fill>
    <fill>
      <patternFill patternType="solid">
        <fgColor rgb="FF15202A"/>
      </patternFill>
    </fill>
    <fill>
      <patternFill patternType="solid">
        <fgColor rgb="FFEAF1F4"/>
      </patternFill>
    </fill>
    <fill>
      <patternFill patternType="solid">
        <fgColor rgb="FFFBF0E2"/>
      </patternFill>
    </fill>
    <fill>
      <patternFill patternType="solid">
        <fgColor rgb="FFE4F2EA"/>
      </patternFill>
    </fill>
  </fills>
  <borders count="2">
    <border>
      <left/>
      <right/>
      <top/>
      <bottom/>
      <diagonal/>
    </border>
    <border>
      <left style="thin">
        <color rgb="FFD6DEE2"/>
      </left>
      <right style="thin">
        <color rgb="FFD6DEE2"/>
      </right>
      <top style="thin">
        <color rgb="FFD6DEE2"/>
      </top>
      <bottom style="thin">
        <color rgb="FFD6DEE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3" fontId="5" fillId="3" borderId="1" xfId="0" applyNumberFormat="1" applyFont="1" applyFill="1" applyBorder="1" applyAlignment="1">
      <alignment horizontal="right" vertical="top"/>
    </xf>
    <xf numFmtId="0" fontId="6" fillId="2" borderId="1" xfId="0" applyFont="1" applyFill="1" applyBorder="1"/>
    <xf numFmtId="0" fontId="0" fillId="2" borderId="1" xfId="0" applyFill="1" applyBorder="1"/>
    <xf numFmtId="3" fontId="6" fillId="2" borderId="1" xfId="0" applyNumberFormat="1" applyFont="1" applyFill="1" applyBorder="1" applyAlignment="1">
      <alignment horizontal="right" vertical="top"/>
    </xf>
    <xf numFmtId="0" fontId="4" fillId="0" borderId="0" xfId="0" applyFont="1"/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right" vertical="top"/>
    </xf>
    <xf numFmtId="0" fontId="4" fillId="3" borderId="1" xfId="0" applyFont="1" applyFill="1" applyBorder="1"/>
    <xf numFmtId="0" fontId="1" fillId="0" borderId="0" xfId="0" applyFont="1"/>
    <xf numFmtId="0" fontId="0" fillId="0" borderId="0" xfId="0"/>
    <xf numFmtId="0" fontId="6" fillId="2" borderId="1" xfId="0" applyFont="1" applyFill="1" applyBorder="1"/>
    <xf numFmtId="0" fontId="0" fillId="2" borderId="1" xfId="0" applyFill="1" applyBorder="1"/>
    <xf numFmtId="0" fontId="2" fillId="0" borderId="0" xfId="0" applyFont="1"/>
    <xf numFmtId="0" fontId="4" fillId="5" borderId="1" xfId="0" applyFont="1" applyFill="1" applyBorder="1"/>
    <xf numFmtId="0" fontId="0" fillId="5" borderId="1" xfId="0" applyFill="1" applyBorder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topLeftCell="A5" workbookViewId="0">
      <selection sqref="A1:D1"/>
    </sheetView>
  </sheetViews>
  <sheetFormatPr defaultRowHeight="14.25" x14ac:dyDescent="0.2"/>
  <cols>
    <col min="1" max="1" width="40" customWidth="1"/>
    <col min="2" max="2" width="34" customWidth="1"/>
    <col min="3" max="4" width="12" customWidth="1"/>
  </cols>
  <sheetData>
    <row r="1" spans="1:4" ht="18.75" x14ac:dyDescent="0.25">
      <c r="A1" s="12" t="s">
        <v>0</v>
      </c>
      <c r="B1" s="13"/>
      <c r="C1" s="13"/>
      <c r="D1" s="13"/>
    </row>
    <row r="2" spans="1:4" x14ac:dyDescent="0.2">
      <c r="A2" s="16" t="s">
        <v>1</v>
      </c>
      <c r="B2" s="13"/>
      <c r="C2" s="13"/>
      <c r="D2" s="13"/>
    </row>
    <row r="4" spans="1:4" ht="26.1" customHeight="1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4" ht="26.1" customHeight="1" x14ac:dyDescent="0.2">
      <c r="A5" s="2" t="s">
        <v>6</v>
      </c>
      <c r="B5" s="3" t="s">
        <v>7</v>
      </c>
      <c r="C5" s="4">
        <v>250</v>
      </c>
      <c r="D5" s="3" t="s">
        <v>8</v>
      </c>
    </row>
    <row r="6" spans="1:4" ht="26.1" customHeight="1" x14ac:dyDescent="0.2">
      <c r="A6" s="2" t="s">
        <v>9</v>
      </c>
      <c r="B6" s="3" t="s">
        <v>10</v>
      </c>
      <c r="C6" s="4">
        <v>150</v>
      </c>
      <c r="D6" s="3" t="s">
        <v>8</v>
      </c>
    </row>
    <row r="7" spans="1:4" ht="26.1" customHeight="1" x14ac:dyDescent="0.2">
      <c r="A7" s="2" t="s">
        <v>11</v>
      </c>
      <c r="B7" s="3" t="s">
        <v>12</v>
      </c>
      <c r="C7" s="4">
        <v>480</v>
      </c>
      <c r="D7" s="3" t="s">
        <v>13</v>
      </c>
    </row>
    <row r="8" spans="1:4" ht="26.1" customHeight="1" x14ac:dyDescent="0.2">
      <c r="A8" s="2" t="s">
        <v>14</v>
      </c>
      <c r="B8" s="3" t="s">
        <v>15</v>
      </c>
      <c r="C8" s="4">
        <v>60</v>
      </c>
      <c r="D8" s="3" t="s">
        <v>8</v>
      </c>
    </row>
    <row r="9" spans="1:4" ht="26.1" customHeight="1" x14ac:dyDescent="0.2">
      <c r="A9" s="2" t="s">
        <v>16</v>
      </c>
      <c r="B9" s="3" t="s">
        <v>17</v>
      </c>
      <c r="C9" s="4">
        <v>500</v>
      </c>
      <c r="D9" s="3" t="s">
        <v>13</v>
      </c>
    </row>
    <row r="10" spans="1:4" ht="26.1" customHeight="1" x14ac:dyDescent="0.2">
      <c r="A10" s="2" t="s">
        <v>18</v>
      </c>
      <c r="B10" s="3" t="s">
        <v>19</v>
      </c>
      <c r="C10" s="4">
        <v>120</v>
      </c>
      <c r="D10" s="3" t="s">
        <v>13</v>
      </c>
    </row>
    <row r="11" spans="1:4" ht="26.1" customHeight="1" x14ac:dyDescent="0.2">
      <c r="A11" s="2" t="s">
        <v>20</v>
      </c>
      <c r="B11" s="3" t="s">
        <v>21</v>
      </c>
      <c r="C11" s="4">
        <v>350</v>
      </c>
      <c r="D11" s="3" t="s">
        <v>13</v>
      </c>
    </row>
    <row r="12" spans="1:4" ht="26.1" customHeight="1" x14ac:dyDescent="0.2">
      <c r="A12" s="2" t="s">
        <v>22</v>
      </c>
      <c r="B12" s="3" t="s">
        <v>23</v>
      </c>
      <c r="C12" s="4">
        <v>900</v>
      </c>
      <c r="D12" s="3" t="s">
        <v>13</v>
      </c>
    </row>
    <row r="13" spans="1:4" ht="26.1" customHeight="1" x14ac:dyDescent="0.2">
      <c r="A13" s="2" t="s">
        <v>24</v>
      </c>
      <c r="B13" s="3" t="s">
        <v>25</v>
      </c>
      <c r="C13" s="4">
        <v>280</v>
      </c>
      <c r="D13" s="3" t="s">
        <v>13</v>
      </c>
    </row>
    <row r="14" spans="1:4" ht="26.1" customHeight="1" x14ac:dyDescent="0.2">
      <c r="A14" s="2" t="s">
        <v>26</v>
      </c>
      <c r="B14" s="3" t="s">
        <v>27</v>
      </c>
      <c r="C14" s="4">
        <v>150</v>
      </c>
      <c r="D14" s="3" t="s">
        <v>8</v>
      </c>
    </row>
    <row r="15" spans="1:4" ht="26.1" customHeight="1" x14ac:dyDescent="0.2">
      <c r="A15" s="2" t="s">
        <v>28</v>
      </c>
      <c r="B15" s="3" t="s">
        <v>29</v>
      </c>
      <c r="C15" s="4">
        <v>120</v>
      </c>
      <c r="D15" s="3" t="s">
        <v>8</v>
      </c>
    </row>
    <row r="16" spans="1:4" ht="26.1" customHeight="1" x14ac:dyDescent="0.2">
      <c r="A16" s="2" t="s">
        <v>30</v>
      </c>
      <c r="B16" s="3" t="s">
        <v>31</v>
      </c>
      <c r="C16" s="4">
        <v>30</v>
      </c>
      <c r="D16" s="3" t="s">
        <v>8</v>
      </c>
    </row>
    <row r="17" spans="1:4" ht="26.1" customHeight="1" x14ac:dyDescent="0.2">
      <c r="A17" s="2" t="s">
        <v>32</v>
      </c>
      <c r="B17" s="3" t="s">
        <v>33</v>
      </c>
      <c r="C17" s="4">
        <v>40</v>
      </c>
      <c r="D17" s="3" t="s">
        <v>8</v>
      </c>
    </row>
    <row r="18" spans="1:4" ht="26.1" customHeight="1" x14ac:dyDescent="0.2">
      <c r="A18" s="2" t="s">
        <v>34</v>
      </c>
      <c r="B18" s="3" t="s">
        <v>35</v>
      </c>
      <c r="C18" s="4">
        <v>600</v>
      </c>
      <c r="D18" s="3" t="s">
        <v>8</v>
      </c>
    </row>
    <row r="19" spans="1:4" ht="26.1" customHeight="1" x14ac:dyDescent="0.2">
      <c r="A19" s="2" t="s">
        <v>36</v>
      </c>
      <c r="B19" s="3" t="s">
        <v>37</v>
      </c>
      <c r="C19" s="4">
        <v>200</v>
      </c>
      <c r="D19" s="3" t="s">
        <v>8</v>
      </c>
    </row>
    <row r="20" spans="1:4" ht="26.1" customHeight="1" x14ac:dyDescent="0.2">
      <c r="A20" s="2" t="s">
        <v>38</v>
      </c>
      <c r="B20" s="3" t="s">
        <v>39</v>
      </c>
      <c r="C20" s="4">
        <v>150</v>
      </c>
      <c r="D20" s="3" t="s">
        <v>8</v>
      </c>
    </row>
    <row r="21" spans="1:4" ht="26.1" customHeight="1" x14ac:dyDescent="0.2">
      <c r="A21" s="2" t="s">
        <v>40</v>
      </c>
      <c r="B21" s="3" t="s">
        <v>41</v>
      </c>
      <c r="C21" s="4">
        <v>180</v>
      </c>
      <c r="D21" s="3" t="s">
        <v>8</v>
      </c>
    </row>
    <row r="22" spans="1:4" x14ac:dyDescent="0.2">
      <c r="A22" s="14" t="s">
        <v>42</v>
      </c>
      <c r="B22" s="15"/>
      <c r="C22" s="7">
        <f>SUM(C5:C21)</f>
        <v>4560</v>
      </c>
      <c r="D22" s="6"/>
    </row>
  </sheetData>
  <mergeCells count="3">
    <mergeCell ref="A1:D1"/>
    <mergeCell ref="A22:B2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showGridLines="0" tabSelected="1" workbookViewId="0">
      <selection activeCell="H9" sqref="H9"/>
    </sheetView>
  </sheetViews>
  <sheetFormatPr defaultRowHeight="14.25" x14ac:dyDescent="0.2"/>
  <cols>
    <col min="1" max="1" width="46" customWidth="1"/>
    <col min="2" max="2" width="35.25" customWidth="1"/>
    <col min="3" max="3" width="22.375" customWidth="1"/>
    <col min="4" max="4" width="17.25" customWidth="1"/>
  </cols>
  <sheetData>
    <row r="1" spans="1:4" ht="18.75" x14ac:dyDescent="0.25">
      <c r="A1" s="12" t="s">
        <v>43</v>
      </c>
      <c r="B1" s="13"/>
      <c r="C1" s="13"/>
      <c r="D1" s="13"/>
    </row>
    <row r="2" spans="1:4" x14ac:dyDescent="0.2">
      <c r="A2" s="16" t="s">
        <v>44</v>
      </c>
      <c r="B2" s="13"/>
      <c r="C2" s="13"/>
      <c r="D2" s="13"/>
    </row>
    <row r="4" spans="1:4" x14ac:dyDescent="0.2">
      <c r="A4" s="8" t="s">
        <v>45</v>
      </c>
    </row>
    <row r="5" spans="1:4" x14ac:dyDescent="0.2">
      <c r="A5" s="1" t="s">
        <v>2</v>
      </c>
      <c r="B5" s="1" t="s">
        <v>46</v>
      </c>
      <c r="C5" s="1" t="s">
        <v>4</v>
      </c>
    </row>
    <row r="6" spans="1:4" ht="26.1" customHeight="1" x14ac:dyDescent="0.2">
      <c r="A6" s="9" t="s">
        <v>47</v>
      </c>
      <c r="B6" s="9" t="s">
        <v>48</v>
      </c>
      <c r="C6" s="10" t="s">
        <v>49</v>
      </c>
    </row>
    <row r="7" spans="1:4" ht="26.1" customHeight="1" x14ac:dyDescent="0.2">
      <c r="A7" s="9" t="s">
        <v>50</v>
      </c>
      <c r="B7" s="9" t="s">
        <v>51</v>
      </c>
      <c r="C7" s="10" t="s">
        <v>49</v>
      </c>
    </row>
    <row r="8" spans="1:4" ht="26.1" customHeight="1" x14ac:dyDescent="0.2">
      <c r="A8" s="9" t="s">
        <v>62</v>
      </c>
      <c r="B8" s="9" t="s">
        <v>52</v>
      </c>
      <c r="C8" s="10" t="s">
        <v>49</v>
      </c>
    </row>
    <row r="9" spans="1:4" ht="26.1" customHeight="1" x14ac:dyDescent="0.2">
      <c r="A9" s="9" t="s">
        <v>53</v>
      </c>
      <c r="B9" s="9" t="s">
        <v>54</v>
      </c>
      <c r="C9" s="10" t="s">
        <v>49</v>
      </c>
    </row>
    <row r="10" spans="1:4" x14ac:dyDescent="0.2">
      <c r="A10" s="17" t="s">
        <v>55</v>
      </c>
      <c r="B10" s="18"/>
      <c r="C10" s="18"/>
    </row>
    <row r="12" spans="1:4" x14ac:dyDescent="0.2">
      <c r="A12" s="8" t="s">
        <v>56</v>
      </c>
    </row>
    <row r="13" spans="1:4" x14ac:dyDescent="0.2">
      <c r="A13" s="1" t="s">
        <v>2</v>
      </c>
      <c r="B13" s="1" t="s">
        <v>57</v>
      </c>
      <c r="C13" s="1" t="s">
        <v>58</v>
      </c>
      <c r="D13" s="1" t="s">
        <v>59</v>
      </c>
    </row>
    <row r="14" spans="1:4" ht="24" customHeight="1" x14ac:dyDescent="0.2">
      <c r="A14" s="11" t="s">
        <v>60</v>
      </c>
      <c r="B14" s="4">
        <f>ต้นทุนต่อแผง!$C$22</f>
        <v>4560</v>
      </c>
      <c r="C14" s="4">
        <f>ต้นทุนต่อแผง!$C$22</f>
        <v>4560</v>
      </c>
      <c r="D14" s="4">
        <f>ต้นทุนต่อแผง!$C$22</f>
        <v>4560</v>
      </c>
    </row>
    <row r="15" spans="1:4" ht="24" customHeight="1" x14ac:dyDescent="0.2">
      <c r="A15" s="5" t="s">
        <v>61</v>
      </c>
      <c r="B15" s="7">
        <f>ต้นทุนต่อแผง!$C$22*10</f>
        <v>45600</v>
      </c>
      <c r="C15" s="7">
        <f>ต้นทุนต่อแผง!$C$22*20</f>
        <v>91200</v>
      </c>
      <c r="D15" s="7">
        <f>ต้นทุนต่อแผง!$C$22*30</f>
        <v>136800</v>
      </c>
    </row>
    <row r="17" spans="1:4" ht="62.1" customHeight="1" x14ac:dyDescent="0.2">
      <c r="A17" s="19"/>
      <c r="B17" s="13"/>
      <c r="C17" s="13"/>
      <c r="D17" s="13"/>
    </row>
  </sheetData>
  <mergeCells count="4">
    <mergeCell ref="A10:C10"/>
    <mergeCell ref="A1:D1"/>
    <mergeCell ref="A17:D1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ต้นทุนต่อแผง</vt:lpstr>
      <vt:lpstr>รวมทั้งตลาด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NOLTAWAT PLOUNGBUNMEE</cp:lastModifiedBy>
  <dcterms:created xsi:type="dcterms:W3CDTF">2026-07-26T08:37:50Z</dcterms:created>
  <dcterms:modified xsi:type="dcterms:W3CDTF">2026-07-26T08:39:20Z</dcterms:modified>
</cp:coreProperties>
</file>