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ตู้รวม" sheetId="1" state="visible" r:id="rId1"/>
    <sheet xmlns:r="http://schemas.openxmlformats.org/officeDocument/2006/relationships" name="ตู้ไฟ Schneider" sheetId="2" state="visible" r:id="rId2"/>
    <sheet xmlns:r="http://schemas.openxmlformats.org/officeDocument/2006/relationships" name="รวมทั้งหมด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family val="2"/>
      <color theme="1"/>
      <sz val="11"/>
      <scheme val="minor"/>
    </font>
    <font>
      <name val="Leelawadee"/>
      <family val="2"/>
      <color rgb="FF1F3864"/>
      <sz val="14"/>
    </font>
    <font>
      <name val="Leelawadee"/>
      <family val="2"/>
      <color rgb="FF808080"/>
      <sz val="9"/>
    </font>
    <font>
      <name val="Leelawadee"/>
      <family val="2"/>
      <color rgb="FFFFFFFF"/>
      <sz val="10"/>
    </font>
    <font>
      <name val="Leelawadee"/>
      <family val="2"/>
      <color rgb="FF000000"/>
      <sz val="10"/>
    </font>
    <font>
      <name val="Leelawadee"/>
      <family val="2"/>
      <color rgb="FF000000"/>
      <sz val="9"/>
    </font>
    <font>
      <name val="Leelawadee"/>
      <family val="2"/>
      <color rgb="FF0563C1"/>
      <sz val="9"/>
      <u val="single"/>
    </font>
    <font>
      <name val="Leelawadee"/>
      <family val="2"/>
      <color rgb="FF000000"/>
      <sz val="12"/>
    </font>
    <font>
      <name val="Leelawadee"/>
      <family val="2"/>
      <color rgb="FF000000"/>
      <sz val="13"/>
    </font>
    <font>
      <name val="Leelawadee"/>
      <family val="2"/>
      <color rgb="FF1F3864"/>
      <sz val="9"/>
    </font>
    <font>
      <name val="Leelawadee"/>
      <family val="2"/>
      <color rgb="FF444444"/>
      <sz val="8"/>
    </font>
    <font>
      <name val="Leelawadee"/>
      <family val="2"/>
      <color rgb="FF000000"/>
      <sz val="11"/>
    </font>
    <font>
      <name val="Tahoma"/>
      <b val="1"/>
      <sz val="13"/>
    </font>
    <font>
      <name val="Tahoma"/>
      <color rgb="FF666666"/>
      <sz val="9"/>
    </font>
    <font>
      <name val="Tahoma"/>
      <b val="1"/>
      <color rgb="FFFFFFFF"/>
      <sz val="11"/>
    </font>
    <font>
      <name val="Tahoma"/>
      <b val="1"/>
      <sz val="11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6FC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6FC"/>
      </patternFill>
    </fill>
    <fill>
      <patternFill patternType="solid">
        <fgColor rgb="FFFFE699"/>
      </patternFill>
    </fill>
    <fill>
      <patternFill patternType="solid">
        <fgColor rgb="FFD9E2F3"/>
      </patternFill>
    </fill>
    <fill>
      <patternFill patternType="solid">
        <fgColor rgb="FFF2F6FC"/>
      </patternFill>
    </fill>
  </fills>
  <borders count="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0" fillId="0" borderId="0" pivotButton="0" quotePrefix="0" xfId="0"/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3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center"/>
    </xf>
    <xf numFmtId="4" fontId="4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4" fillId="4" borderId="1" applyAlignment="1" pivotButton="0" quotePrefix="0" xfId="0">
      <alignment horizontal="right"/>
    </xf>
    <xf numFmtId="0" fontId="7" fillId="7" borderId="1" applyAlignment="1" pivotButton="0" quotePrefix="0" xfId="0">
      <alignment horizontal="left"/>
    </xf>
    <xf numFmtId="3" fontId="4" fillId="7" borderId="1" applyAlignment="1" pivotButton="0" quotePrefix="0" xfId="0">
      <alignment horizontal="left"/>
    </xf>
    <xf numFmtId="4" fontId="8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left"/>
    </xf>
    <xf numFmtId="0" fontId="9" fillId="0" borderId="1" applyAlignment="1" pivotButton="0" quotePrefix="0" xfId="0">
      <alignment horizontal="left"/>
    </xf>
    <xf numFmtId="4" fontId="0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3" fontId="3" fillId="2" borderId="1" applyAlignment="1" pivotButton="0" quotePrefix="0" xfId="0">
      <alignment horizontal="center" wrapText="1"/>
    </xf>
    <xf numFmtId="4" fontId="3" fillId="2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 wrapText="1"/>
    </xf>
    <xf numFmtId="0" fontId="10" fillId="4" borderId="1" applyAlignment="1" pivotButton="0" quotePrefix="0" xfId="0">
      <alignment horizontal="left" wrapText="1"/>
    </xf>
    <xf numFmtId="3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 wrapText="1"/>
    </xf>
    <xf numFmtId="0" fontId="10" fillId="0" borderId="1" applyAlignment="1" pivotButton="0" quotePrefix="0" xfId="0">
      <alignment horizontal="left" wrapText="1"/>
    </xf>
    <xf numFmtId="3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4" fontId="4" fillId="5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left"/>
    </xf>
    <xf numFmtId="3" fontId="4" fillId="6" borderId="1" applyAlignment="1" pivotButton="0" quotePrefix="0" xfId="0">
      <alignment horizontal="left"/>
    </xf>
    <xf numFmtId="4" fontId="4" fillId="6" borderId="1" applyAlignment="1" pivotButton="0" quotePrefix="0" xfId="0">
      <alignment horizontal="left"/>
    </xf>
    <xf numFmtId="4" fontId="11" fillId="6" borderId="1" applyAlignment="1" pivotButton="0" quotePrefix="0" xfId="0">
      <alignment horizontal="right"/>
    </xf>
    <xf numFmtId="4" fontId="4" fillId="8" borderId="1" applyAlignment="1" pivotButton="0" quotePrefix="0" xfId="0">
      <alignment horizontal="right"/>
    </xf>
    <xf numFmtId="0" fontId="0" fillId="0" borderId="2" pivotButton="0" quotePrefix="0" xfId="0"/>
    <xf numFmtId="0" fontId="0" fillId="0" borderId="3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9" borderId="0" applyAlignment="1" pivotButton="0" quotePrefix="0" xfId="0">
      <alignment horizontal="left"/>
    </xf>
    <xf numFmtId="0" fontId="0" fillId="10" borderId="0" pivotButton="0" quotePrefix="0" xfId="0"/>
    <xf numFmtId="0" fontId="0" fillId="8" borderId="0" pivotButton="0" quotePrefix="0" xfId="0"/>
    <xf numFmtId="0" fontId="15" fillId="11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4" fillId="10" borderId="1" applyAlignment="1" pivotButton="0" quotePrefix="0" xfId="0">
      <alignment horizontal="left"/>
    </xf>
    <xf numFmtId="3" fontId="5" fillId="10" borderId="1" applyAlignment="1" pivotButton="0" quotePrefix="0" xfId="0">
      <alignment horizontal="center"/>
    </xf>
    <xf numFmtId="3" fontId="4" fillId="8" borderId="1" applyAlignment="1" pivotButton="0" quotePrefix="0" xfId="0">
      <alignment horizontal="center"/>
    </xf>
    <xf numFmtId="4" fontId="4" fillId="10" borderId="1" applyAlignment="1" pivotButton="0" quotePrefix="0" xfId="0">
      <alignment horizontal="right"/>
    </xf>
    <xf numFmtId="0" fontId="2" fillId="10" borderId="1" applyAlignment="1" pivotButton="0" quotePrefix="0" xfId="0">
      <alignment horizontal="left"/>
    </xf>
    <xf numFmtId="0" fontId="4" fillId="11" borderId="1" applyAlignment="1" pivotButton="0" quotePrefix="0" xfId="0">
      <alignment horizontal="left" wrapText="1"/>
    </xf>
    <xf numFmtId="3" fontId="4" fillId="11" borderId="1" applyAlignment="1" pivotButton="0" quotePrefix="0" xfId="0">
      <alignment horizontal="center"/>
    </xf>
    <xf numFmtId="4" fontId="4" fillId="11" borderId="1" applyAlignment="1" pivotButton="0" quotePrefix="0" xfId="0">
      <alignment horizontal="right"/>
    </xf>
    <xf numFmtId="0" fontId="6" fillId="11" borderId="1" applyAlignment="1" pivotButton="0" quotePrefix="0" xfId="0">
      <alignment horizontal="center"/>
    </xf>
    <xf numFmtId="0" fontId="0" fillId="13" borderId="0" pivotButton="0" quotePrefix="0" xfId="0"/>
    <xf numFmtId="0" fontId="9" fillId="0" borderId="1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/>
    </xf>
    <xf numFmtId="3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ee.co.th/STM32H743VIT6-&#3610;&#3629;&#3619;&#3660;&#3604;&#3614;&#3633;&#3602;&#3609;&#3634;-STM32H743-Arm-Cortex-M7-480-MHz-i.1241057584.41402408618" TargetMode="External" Id="rId1"/><Relationship Type="http://schemas.openxmlformats.org/officeDocument/2006/relationships/hyperlink" Target="https://jlcpcb.com/" TargetMode="External" Id="rId2"/><Relationship Type="http://schemas.openxmlformats.org/officeDocument/2006/relationships/hyperlink" Target="https://th.aliexpress.com/item/4000459030365.html" TargetMode="External" Id="rId3"/><Relationship Type="http://schemas.openxmlformats.org/officeDocument/2006/relationships/hyperlink" Target="https://shopee.co.th/product/459630043/25078105783" TargetMode="External" Id="rId4"/><Relationship Type="http://schemas.openxmlformats.org/officeDocument/2006/relationships/hyperlink" Target="https://th.aliexpress.com/item/1005009277055997.html" TargetMode="External" Id="rId5"/><Relationship Type="http://schemas.openxmlformats.org/officeDocument/2006/relationships/hyperlink" Target="https://th.aliexpress.com/item/1005007047542338.html" TargetMode="External" Id="rId6"/><Relationship Type="http://schemas.openxmlformats.org/officeDocument/2006/relationships/hyperlink" Target="https://shopee.co.th/product/459630043/9467725503" TargetMode="External" Id="rId7"/><Relationship Type="http://schemas.openxmlformats.org/officeDocument/2006/relationships/hyperlink" Target="https://shopee.co.th/search?keyword=MEAN%20WELL%20MDR-60-24" TargetMode="External" Id="rId8"/><Relationship Type="http://schemas.openxmlformats.org/officeDocument/2006/relationships/hyperlink" Target="https://shopee.co.th/search?keyword=MEAN%20WELL%20MDR-20-5" TargetMode="External" Id="rId9"/><Relationship Type="http://schemas.openxmlformats.org/officeDocument/2006/relationships/hyperlink" Target="https://shopee.co.th/product/1365592485/26965725083" TargetMode="External" Id="rId10"/><Relationship Type="http://schemas.openxmlformats.org/officeDocument/2006/relationships/hyperlink" Target="https://shopee.co.th/product/1365592485/26965725083" TargetMode="External" Id="rId11"/><Relationship Type="http://schemas.openxmlformats.org/officeDocument/2006/relationships/hyperlink" Target="https://shopee.co.th/product/1365592485/26965725083" TargetMode="External" Id="rId12"/><Relationship Type="http://schemas.openxmlformats.org/officeDocument/2006/relationships/hyperlink" Target="https://shopee.co.th/product/1365592485/26965725083" TargetMode="External" Id="rId13"/><Relationship Type="http://schemas.openxmlformats.org/officeDocument/2006/relationships/hyperlink" Target="https://shopee.co.th/product/1365592485/26965725083" TargetMode="External" Id="rId14"/><Relationship Type="http://schemas.openxmlformats.org/officeDocument/2006/relationships/hyperlink" Target="https://shopee.co.th/product/1365592485/26965725083" TargetMode="External" Id="rId15"/><Relationship Type="http://schemas.openxmlformats.org/officeDocument/2006/relationships/hyperlink" Target="https://shopee.co.th/product/1365592485/26965725083" TargetMode="External" Id="rId16"/><Relationship Type="http://schemas.openxmlformats.org/officeDocument/2006/relationships/hyperlink" Target="https://shopee.co.th/product/1365592485/26965725083" TargetMode="External" Id="rId17"/><Relationship Type="http://schemas.openxmlformats.org/officeDocument/2006/relationships/hyperlink" Target="https://shopee.co.th/product/1365592485/26965725083" TargetMode="External" Id="rId18"/><Relationship Type="http://schemas.openxmlformats.org/officeDocument/2006/relationships/hyperlink" Target="https://shopee.co.th/product/526483492/28945355689" TargetMode="External" Id="rId19"/><Relationship Type="http://schemas.openxmlformats.org/officeDocument/2006/relationships/hyperlink" Target="https://shopee.co.th/product/2967600/43004325718" TargetMode="External" Id="rId20"/><Relationship Type="http://schemas.openxmlformats.org/officeDocument/2006/relationships/hyperlink" Target="https://shopee.co.th/product/1268422/3910846993" TargetMode="External" Id="rId21"/><Relationship Type="http://schemas.openxmlformats.org/officeDocument/2006/relationships/hyperlink" Target="https://shopee.co.th/product/1268422/3910846993" TargetMode="External" Id="rId22"/><Relationship Type="http://schemas.openxmlformats.org/officeDocument/2006/relationships/hyperlink" Target="https://shopee.co.th/product/1047998802/15498146528" TargetMode="External" Id="rId23"/><Relationship Type="http://schemas.openxmlformats.org/officeDocument/2006/relationships/hyperlink" Target="https://shopee.co.th/product/1047998802/15498146528" TargetMode="External" Id="rId24"/><Relationship Type="http://schemas.openxmlformats.org/officeDocument/2006/relationships/hyperlink" Target="https://shopee.co.th/product/1234441872/40856697123" TargetMode="External" Id="rId25"/><Relationship Type="http://schemas.openxmlformats.org/officeDocument/2006/relationships/hyperlink" Target="https://shopee.co.th/product/1234441872/40856697123" TargetMode="External" Id="rId26"/><Relationship Type="http://schemas.openxmlformats.org/officeDocument/2006/relationships/hyperlink" Target="https://shopee.co.th/product/1234441872/40856697123" TargetMode="External" Id="rId27"/><Relationship Type="http://schemas.openxmlformats.org/officeDocument/2006/relationships/hyperlink" Target="https://shopee.co.th/product/1234441872/40856697123" TargetMode="External" Id="rId28"/><Relationship Type="http://schemas.openxmlformats.org/officeDocument/2006/relationships/hyperlink" Target="https://th.aliexpress.com/item/1005008660211731.html" TargetMode="External" Id="rId29"/><Relationship Type="http://schemas.openxmlformats.org/officeDocument/2006/relationships/hyperlink" Target="https://shopee.co.th/product/42136308/22437670743" TargetMode="External" Id="rId30"/><Relationship Type="http://schemas.openxmlformats.org/officeDocument/2006/relationships/hyperlink" Target="https://www.rbc-rubicon.com/product/6441/nitto-kogyo-ch25-65th-size-w600xh500xd250-mm" TargetMode="External" Id="rId31"/><Relationship Type="http://schemas.openxmlformats.org/officeDocument/2006/relationships/hyperlink" Target="https://shopee.co.th/product/1207897148/25419993552" TargetMode="External" Id="rId3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e.com/th/th/" TargetMode="External" Id="rId1"/><Relationship Type="http://schemas.openxmlformats.org/officeDocument/2006/relationships/hyperlink" Target="https://www.glink.in.th/" TargetMode="External" Id="rId2"/><Relationship Type="http://schemas.openxmlformats.org/officeDocument/2006/relationships/hyperlink" Target="https://shopee.co.th/product/1047998802/15498146528" TargetMode="External" Id="rId3"/><Relationship Type="http://schemas.openxmlformats.org/officeDocument/2006/relationships/hyperlink" Target="https://shopee.co.th/search?keyword=UK6N%20terminal%20block" TargetMode="External" Id="rId4"/><Relationship Type="http://schemas.openxmlformats.org/officeDocument/2006/relationships/hyperlink" Target="https://shopee.co.th/search?keyword=%E0%B8%AA%E0%B8%B2%E0%B8%A2%E0%B9%84%E0%B8%9F%20THW%206" TargetMode="External" Id="rId5"/><Relationship Type="http://schemas.openxmlformats.org/officeDocument/2006/relationships/hyperlink" Target="https://shopee.co.th/product/1268422/3910846993" TargetMode="External" Id="rId6"/><Relationship Type="http://schemas.openxmlformats.org/officeDocument/2006/relationships/hyperlink" Target="https://shopee.co.th/search?keyword=RS485%20cable%20shielded%202C" TargetMode="External" Id="rId7"/><Relationship Type="http://schemas.openxmlformats.org/officeDocument/2006/relationships/hyperlink" Target="https://shopee.co.th/search?keyword=rs485%20terminator%20120%20ohm" TargetMode="External" Id="rId8"/><Relationship Type="http://schemas.openxmlformats.org/officeDocument/2006/relationships/hyperlink" Target="https://shopee.co.th/product/1365592485/26965725083" TargetMode="External" Id="rId9"/><Relationship Type="http://schemas.openxmlformats.org/officeDocument/2006/relationships/hyperlink" Target="https://shopee.co.th/product/1365592485/26965725083" TargetMode="External" Id="rId10"/><Relationship Type="http://schemas.openxmlformats.org/officeDocument/2006/relationships/hyperlink" Target="https://shopee.co.th/product/1365592485/26965725083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th.aliexpress.com/item/1005009752166886.html" TargetMode="Externa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B1:H39"/>
  <sheetViews>
    <sheetView tabSelected="1" topLeftCell="A2" workbookViewId="0">
      <selection activeCell="M16" sqref="M16"/>
    </sheetView>
  </sheetViews>
  <sheetFormatPr baseColWidth="8" defaultRowHeight="14.25"/>
  <cols>
    <col width="3" bestFit="1" customWidth="1" style="65" min="1" max="1"/>
    <col width="28" bestFit="1" customWidth="1" style="65" min="2" max="2"/>
    <col width="40" bestFit="1" customWidth="1" style="65" min="3" max="3"/>
    <col width="7" bestFit="1" customWidth="1" style="64" min="4" max="4"/>
    <col width="7" bestFit="1" customWidth="1" style="65" min="5" max="5"/>
    <col width="13" bestFit="1" customWidth="1" style="18" min="6" max="6"/>
    <col width="13" bestFit="1" customWidth="1" style="65" min="7" max="7"/>
    <col width="18.125" customWidth="1" style="65" min="8" max="8"/>
  </cols>
  <sheetData>
    <row r="1" ht="18.75" customHeight="1" s="65">
      <c r="B1" s="1" t="inlineStr">
        <is>
          <t>ตู้รวม (Water + Electric) — ตู้ควบคุมวัดน้ำ+ไฟ STM32 (ตู้เดียว)</t>
        </is>
      </c>
    </row>
    <row r="2" ht="18.75" customHeight="1" s="65">
      <c r="B2" s="3" t="inlineStr">
        <is>
          <t>ยุบเหลือ 1 ตู้ · อ่านพัลส์น้ำ (opto 32CH) + มิเตอร์ไฟ RS485 · ช่องเหลือง = แก้ราคาได้ · รวมอัตโนมัติ · ส.ค. 2026 · THB</t>
        </is>
      </c>
    </row>
    <row r="3" ht="18.75" customHeight="1" s="65"/>
    <row r="4" ht="18.75" customFormat="1" customHeight="1" s="19">
      <c r="B4" s="20" t="inlineStr">
        <is>
          <t>รายการ</t>
        </is>
      </c>
      <c r="C4" s="20" t="inlineStr">
        <is>
          <t>สเปก / รุ่น</t>
        </is>
      </c>
      <c r="D4" s="21" t="inlineStr">
        <is>
          <t>จำนวน</t>
        </is>
      </c>
      <c r="E4" s="20" t="inlineStr">
        <is>
          <t>หน่วย</t>
        </is>
      </c>
      <c r="F4" s="22" t="inlineStr">
        <is>
          <t>ราคา/หน่วย (฿)</t>
        </is>
      </c>
      <c r="G4" s="20" t="inlineStr">
        <is>
          <t>รวม (฿)</t>
        </is>
      </c>
      <c r="H4" s="20" t="inlineStr">
        <is>
          <t>ลิงก์</t>
        </is>
      </c>
    </row>
    <row r="5" ht="18.75" customHeight="1" s="65">
      <c r="B5" s="23" t="inlineStr">
        <is>
          <t>STM32H743VIT6 core board</t>
        </is>
      </c>
      <c r="C5" s="24" t="inlineStr">
        <is>
          <t>WeAct MiniSTM32H743 · LQFP100 (ไม่ใช้ SD card)</t>
        </is>
      </c>
      <c r="D5" s="25" t="n">
        <v>1</v>
      </c>
      <c r="E5" s="26" t="inlineStr">
        <is>
          <t>บอร์ด</t>
        </is>
      </c>
      <c r="F5" s="12" t="n">
        <v>920</v>
      </c>
      <c r="G5" s="12">
        <f>D5*F5</f>
        <v/>
      </c>
      <c r="H5" s="27" t="inlineStr">
        <is>
          <t>เปิดลิงก์ ✓</t>
        </is>
      </c>
    </row>
    <row r="6" ht="18.75" customHeight="1" s="65">
      <c r="B6" s="23" t="inlineStr">
        <is>
          <t>Custom PCB (ออกแบบเอง)</t>
        </is>
      </c>
      <c r="C6" s="24" t="inlineStr">
        <is>
          <t>รวม STM32+opto32CH+LAN+RS485×2(DINrail)+LCD+PSU · ตู้เดียวคุมทั้งน้ำ+ไฟ · JLCPCB/PCBWay</t>
        </is>
      </c>
      <c r="D6" s="25" t="n">
        <v>1</v>
      </c>
      <c r="E6" s="26" t="inlineStr">
        <is>
          <t>ชุด</t>
        </is>
      </c>
      <c r="F6" s="12" t="n">
        <v>1000</v>
      </c>
      <c r="G6" s="12">
        <f>D6*F6</f>
        <v/>
      </c>
      <c r="H6" s="27" t="inlineStr">
        <is>
          <t>เปิดลิงก์ ✓</t>
        </is>
      </c>
    </row>
    <row r="7" ht="18.75" customHeight="1" s="65">
      <c r="B7" s="28" t="inlineStr">
        <is>
          <t>Optocoupler Isolation 32CH</t>
        </is>
      </c>
      <c r="C7" s="29" t="inlineStr">
        <is>
          <t>input 24V → output 3.3V · 32 ช่อง (= 16CH ×2 ลิงก์เดิม) · อ่านพัลส์มิเตอร์น้ำ</t>
        </is>
      </c>
      <c r="D7" s="30" t="n">
        <v>2</v>
      </c>
      <c r="E7" s="31" t="inlineStr">
        <is>
          <t>บอร์ด</t>
        </is>
      </c>
      <c r="F7" s="32" t="n">
        <v>679.95</v>
      </c>
      <c r="G7" s="33">
        <f>D7*F7</f>
        <v/>
      </c>
      <c r="H7" s="34" t="inlineStr">
        <is>
          <t>เปิดลิงก์ ✓</t>
        </is>
      </c>
    </row>
    <row r="8" ht="18.75" customHeight="1" s="65">
      <c r="B8" s="23" t="inlineStr">
        <is>
          <t>LAN module W5500</t>
        </is>
      </c>
      <c r="C8" s="24" t="inlineStr">
        <is>
          <t>Ethernet SPI (มี TCP ในตัว)</t>
        </is>
      </c>
      <c r="D8" s="25" t="n">
        <v>1</v>
      </c>
      <c r="E8" s="26" t="inlineStr">
        <is>
          <t>ตัว</t>
        </is>
      </c>
      <c r="F8" s="12" t="n">
        <v>165</v>
      </c>
      <c r="G8" s="12">
        <f>D8*F8</f>
        <v/>
      </c>
      <c r="H8" s="27" t="inlineStr">
        <is>
          <t>เปิดลิงก์ ✓</t>
        </is>
      </c>
    </row>
    <row r="9" ht="18.75" customHeight="1" s="65">
      <c r="B9" s="28" t="inlineStr">
        <is>
          <t>TTL → RS485 (DIN rail, isolated)</t>
        </is>
      </c>
      <c r="C9" s="29" t="inlineStr">
        <is>
          <t>TTL↔RS485 DIN rail · isolated · 3.3–5V TTL · 1 บัส มิเตอร์ไฟ DDS238 Modbus (ลิงก์ที่เลือก)</t>
        </is>
      </c>
      <c r="D9" s="30" t="n">
        <v>1</v>
      </c>
      <c r="E9" s="31" t="inlineStr">
        <is>
          <t>ตัว</t>
        </is>
      </c>
      <c r="F9" s="32" t="n">
        <v>490</v>
      </c>
      <c r="G9" s="33">
        <f>D9*F9</f>
        <v/>
      </c>
      <c r="H9" s="34" t="inlineStr">
        <is>
          <t>เปิดลิงก์ ✓</t>
        </is>
      </c>
    </row>
    <row r="10" ht="18.75" customHeight="1" s="65">
      <c r="B10" s="28" t="inlineStr">
        <is>
          <t>TTL → RS232 (DIN rail, isolated)</t>
        </is>
      </c>
      <c r="C10" s="29" t="inlineStr">
        <is>
          <t>TTL↔RS232 DIN rail · isolated · 3.3–5V TTL (ลิงก์ AliExpress ~396฿)</t>
        </is>
      </c>
      <c r="D10" s="30" t="n">
        <v>1</v>
      </c>
      <c r="E10" s="31" t="inlineStr">
        <is>
          <t>ตัว</t>
        </is>
      </c>
      <c r="F10" s="32" t="n">
        <v>396.3</v>
      </c>
      <c r="G10" s="33">
        <f>D10*F10</f>
        <v/>
      </c>
      <c r="H10" s="34" t="inlineStr">
        <is>
          <t>เปิดลิงก์ ✓</t>
        </is>
      </c>
    </row>
    <row r="11" ht="18.75" customHeight="1" s="65">
      <c r="B11" s="23" t="inlineStr">
        <is>
          <t>LCD 20×4 (2004) + I2C</t>
        </is>
      </c>
      <c r="C11" s="24" t="inlineStr">
        <is>
          <t>จอ 20 คอลัมน์ 4 แถว · I2C (2004)</t>
        </is>
      </c>
      <c r="D11" s="25" t="n">
        <v>1</v>
      </c>
      <c r="E11" s="26" t="inlineStr">
        <is>
          <t>ชุด</t>
        </is>
      </c>
      <c r="F11" s="12" t="n">
        <v>225</v>
      </c>
      <c r="G11" s="12">
        <f>D11*F11</f>
        <v/>
      </c>
      <c r="H11" s="27" t="inlineStr">
        <is>
          <t>เปิดลิงก์ ✓</t>
        </is>
      </c>
    </row>
    <row r="12" ht="18.75" customHeight="1" s="65">
      <c r="B12" s="28" t="inlineStr">
        <is>
          <t>PSU 24V DIN</t>
        </is>
      </c>
      <c r="C12" s="29" t="inlineStr">
        <is>
          <t>MEAN WELL MDR-60-24 แท้ (Shopee) · เกรดดีกว่าโคลน</t>
        </is>
      </c>
      <c r="D12" s="30" t="n">
        <v>1</v>
      </c>
      <c r="E12" s="31" t="inlineStr">
        <is>
          <t>ตัว</t>
        </is>
      </c>
      <c r="F12" s="32" t="n">
        <v>850</v>
      </c>
      <c r="G12" s="33">
        <f>D12*F12</f>
        <v/>
      </c>
      <c r="H12" s="34" t="inlineStr">
        <is>
          <t>เปิดลิงก์ ✓</t>
        </is>
      </c>
    </row>
    <row r="13" ht="18.75" customHeight="1" s="65">
      <c r="B13" s="23" t="inlineStr">
        <is>
          <t>PSU 5V DIN</t>
        </is>
      </c>
      <c r="C13" s="24" t="inlineStr">
        <is>
          <t>MEAN WELL MDR-20-5 แท้ (Shopee)</t>
        </is>
      </c>
      <c r="D13" s="25" t="n">
        <v>1</v>
      </c>
      <c r="E13" s="26" t="inlineStr">
        <is>
          <t>ตัว</t>
        </is>
      </c>
      <c r="F13" s="12" t="n">
        <v>645</v>
      </c>
      <c r="G13" s="12">
        <f>D13*F13</f>
        <v/>
      </c>
      <c r="H13" s="27" t="inlineStr">
        <is>
          <t>เปิดลิงก์ ✓</t>
        </is>
      </c>
    </row>
    <row r="14" ht="18.75" customHeight="1" s="65">
      <c r="B14" s="23" t="inlineStr">
        <is>
          <t>เทอร์มินอล UK2.5B — แดง</t>
        </is>
      </c>
      <c r="C14" s="24" t="inlineStr">
        <is>
          <t>Din rail feed-through 2.5mm² · สีแดง (ลิงก์ที่เลือก)</t>
        </is>
      </c>
      <c r="D14" s="25" t="n">
        <v>50</v>
      </c>
      <c r="E14" s="26" t="inlineStr">
        <is>
          <t>ตัว</t>
        </is>
      </c>
      <c r="F14" s="32" t="n">
        <v>8</v>
      </c>
      <c r="G14" s="12">
        <f>D14*F14</f>
        <v/>
      </c>
      <c r="H14" s="27" t="inlineStr">
        <is>
          <t>เปิดลิงก์ ✓</t>
        </is>
      </c>
    </row>
    <row r="15" ht="18.75" customHeight="1" s="65">
      <c r="B15" s="23" t="inlineStr">
        <is>
          <t>เทอร์มินอล UK2.5B — ดำ</t>
        </is>
      </c>
      <c r="C15" s="24" t="inlineStr">
        <is>
          <t>Din rail feed-through 2.5mm² · สีดำ</t>
        </is>
      </c>
      <c r="D15" s="25" t="n">
        <v>50</v>
      </c>
      <c r="E15" s="26" t="inlineStr">
        <is>
          <t>ตัว</t>
        </is>
      </c>
      <c r="F15" s="32" t="n">
        <v>8</v>
      </c>
      <c r="G15" s="12">
        <f>D15*F15</f>
        <v/>
      </c>
      <c r="H15" s="27" t="inlineStr">
        <is>
          <t>เปิดลิงก์ ✓</t>
        </is>
      </c>
    </row>
    <row r="16" ht="18.75" customHeight="1" s="65">
      <c r="B16" s="23" t="inlineStr">
        <is>
          <t>เทอร์มินอล UK2.5B — เหลือง</t>
        </is>
      </c>
      <c r="C16" s="24" t="inlineStr">
        <is>
          <t>Din rail feed-through 2.5mm² · สีเหลือง</t>
        </is>
      </c>
      <c r="D16" s="25" t="n">
        <v>50</v>
      </c>
      <c r="E16" s="26" t="inlineStr">
        <is>
          <t>ตัว</t>
        </is>
      </c>
      <c r="F16" s="32" t="n">
        <v>8</v>
      </c>
      <c r="G16" s="12">
        <f>D16*F16</f>
        <v/>
      </c>
      <c r="H16" s="27" t="inlineStr">
        <is>
          <t>เปิดลิงก์ ✓</t>
        </is>
      </c>
    </row>
    <row r="17" ht="18.75" customHeight="1" s="65">
      <c r="B17" s="23" t="inlineStr">
        <is>
          <t>มาร์คเกอร์หมายเลข 1–10</t>
        </is>
      </c>
      <c r="C17" s="24" t="inlineStr">
        <is>
          <t>ป้ายเลขติดเทอร์มินอล UK2.5 · ช่วง 1–10</t>
        </is>
      </c>
      <c r="D17" s="25" t="n">
        <v>2</v>
      </c>
      <c r="E17" s="26" t="inlineStr">
        <is>
          <t>ชุด</t>
        </is>
      </c>
      <c r="F17" s="32" t="n">
        <v>7</v>
      </c>
      <c r="G17" s="12">
        <f>D17*F17</f>
        <v/>
      </c>
      <c r="H17" s="27" t="inlineStr">
        <is>
          <t>เปิดลิงก์ ✓</t>
        </is>
      </c>
    </row>
    <row r="18" ht="18.75" customHeight="1" s="65">
      <c r="B18" s="23" t="inlineStr">
        <is>
          <t>มาร์คเกอร์หมายเลข 11–20</t>
        </is>
      </c>
      <c r="C18" s="24" t="inlineStr">
        <is>
          <t>ป้ายเลขติดเทอร์มินอล UK2.5 · ช่วง 11–20</t>
        </is>
      </c>
      <c r="D18" s="25" t="n">
        <v>2</v>
      </c>
      <c r="E18" s="26" t="inlineStr">
        <is>
          <t>ชุด</t>
        </is>
      </c>
      <c r="F18" s="32" t="n">
        <v>7</v>
      </c>
      <c r="G18" s="12">
        <f>D18*F18</f>
        <v/>
      </c>
      <c r="H18" s="27" t="inlineStr">
        <is>
          <t>เปิดลิงก์ ✓</t>
        </is>
      </c>
    </row>
    <row r="19" ht="18.75" customHeight="1" s="65">
      <c r="B19" s="23" t="inlineStr">
        <is>
          <t>มาร์คเกอร์หมายเลข 21–30</t>
        </is>
      </c>
      <c r="C19" s="24" t="inlineStr">
        <is>
          <t>ป้ายเลขติดเทอร์มินอล UK2.5 · ช่วง 21–30</t>
        </is>
      </c>
      <c r="D19" s="25" t="n">
        <v>2</v>
      </c>
      <c r="E19" s="26" t="inlineStr">
        <is>
          <t>ชุด</t>
        </is>
      </c>
      <c r="F19" s="32" t="n">
        <v>7</v>
      </c>
      <c r="G19" s="12">
        <f>D19*F19</f>
        <v/>
      </c>
      <c r="H19" s="27" t="inlineStr">
        <is>
          <t>เปิดลิงก์ ✓</t>
        </is>
      </c>
    </row>
    <row r="20" ht="18.75" customHeight="1" s="65">
      <c r="B20" s="23" t="inlineStr">
        <is>
          <t>มาร์คเกอร์หมายเลข 31–40</t>
        </is>
      </c>
      <c r="C20" s="24" t="inlineStr">
        <is>
          <t>ป้ายเลขติดเทอร์มินอล UK2.5 · ช่วง 31–40</t>
        </is>
      </c>
      <c r="D20" s="25" t="n">
        <v>2</v>
      </c>
      <c r="E20" s="26" t="inlineStr">
        <is>
          <t>ชุด</t>
        </is>
      </c>
      <c r="F20" s="32" t="n">
        <v>7</v>
      </c>
      <c r="G20" s="12">
        <f>D20*F20</f>
        <v/>
      </c>
      <c r="H20" s="27" t="inlineStr">
        <is>
          <t>เปิดลิงก์ ✓</t>
        </is>
      </c>
    </row>
    <row r="21" ht="18.75" customHeight="1" s="65">
      <c r="B21" s="23" t="inlineStr">
        <is>
          <t>End clamp E/UK (เอ็นแคลมป์)</t>
        </is>
      </c>
      <c r="C21" s="24" t="inlineStr">
        <is>
          <t>ตัวล็อกปลายราง DIN E/UK</t>
        </is>
      </c>
      <c r="D21" s="25" t="n">
        <v>10</v>
      </c>
      <c r="E21" s="26" t="inlineStr">
        <is>
          <t>ตัว</t>
        </is>
      </c>
      <c r="F21" s="32" t="n">
        <v>7</v>
      </c>
      <c r="G21" s="12">
        <f>D21*F21</f>
        <v/>
      </c>
      <c r="H21" s="27" t="inlineStr">
        <is>
          <t>เปิดลิงก์ ✓</t>
        </is>
      </c>
    </row>
    <row r="22" ht="18.75" customHeight="1" s="65">
      <c r="B22" s="23" t="inlineStr">
        <is>
          <t>สะพานสาย EB10-6</t>
        </is>
      </c>
      <c r="C22" s="24" t="inlineStr">
        <is>
          <t>จัมเปอร์บริดจ์เชื่อมขั้วเทอร์มินอล · EB10-6</t>
        </is>
      </c>
      <c r="D22" s="25" t="n">
        <v>20</v>
      </c>
      <c r="E22" s="26" t="inlineStr">
        <is>
          <t>ชุด</t>
        </is>
      </c>
      <c r="F22" s="32" t="n">
        <v>30</v>
      </c>
      <c r="G22" s="12">
        <f>D22*F22</f>
        <v/>
      </c>
      <c r="H22" s="27" t="inlineStr">
        <is>
          <t>เปิดลิงก์ ✓</t>
        </is>
      </c>
    </row>
    <row r="23" ht="18.75" customHeight="1" s="65">
      <c r="B23" s="23" t="inlineStr">
        <is>
          <t>เทอร์มินอล PCB KF301-5.0 2P</t>
        </is>
      </c>
      <c r="C23" s="24" t="inlineStr">
        <is>
          <t>ขั้วสกรูขึ้นบอร์ด (PCB) · 5.0mm · 2P · ต่อเชื่อมได้ · 50 ตัว/ชุด (ลิงก์ที่เลือก)</t>
        </is>
      </c>
      <c r="D23" s="25" t="n">
        <v>2</v>
      </c>
      <c r="E23" s="26" t="inlineStr">
        <is>
          <t>ชุด</t>
        </is>
      </c>
      <c r="F23" s="32" t="n">
        <v>69</v>
      </c>
      <c r="G23" s="12">
        <f>D23*F23</f>
        <v/>
      </c>
      <c r="H23" s="27" t="inlineStr">
        <is>
          <t>เปิดลิงก์ ✓</t>
        </is>
      </c>
    </row>
    <row r="24" ht="27" customHeight="1" s="65">
      <c r="B24" s="23" t="inlineStr">
        <is>
          <t>สายมัลติคอร์ SJK 0.3mm² 3C</t>
        </is>
      </c>
      <c r="C24" s="24" t="inlineStr">
        <is>
          <t>SJK Multicore 0.3sq · 3 แกน · No Shield · เทา · 100 ม./ม้วน · ราคาจริง Shopee 1,868฿</t>
        </is>
      </c>
      <c r="D24" s="25" t="n">
        <v>1</v>
      </c>
      <c r="E24" s="26" t="inlineStr">
        <is>
          <t>ม้วน</t>
        </is>
      </c>
      <c r="F24" s="32" t="n">
        <v>1868</v>
      </c>
      <c r="G24" s="12">
        <f>D24*F24</f>
        <v/>
      </c>
      <c r="H24" s="27" t="inlineStr">
        <is>
          <t>เปิดลิงก์ ✓</t>
        </is>
      </c>
    </row>
    <row r="25" ht="27" customHeight="1" s="65">
      <c r="B25" s="23" t="inlineStr">
        <is>
          <t>เคเบิ้ลแกลน Nylon M12 ×1.5</t>
        </is>
      </c>
      <c r="C25" s="24" t="inlineStr">
        <is>
          <t>Nylon Cable Gland กันฝุ่น/น้ำ · เกลียว M12 (ราคาจริง 35฿ · ลิงก์เดิม)</t>
        </is>
      </c>
      <c r="D25" s="25" t="n">
        <v>40</v>
      </c>
      <c r="E25" s="26" t="inlineStr">
        <is>
          <t>ชิ้น</t>
        </is>
      </c>
      <c r="F25" s="32" t="n">
        <v>35</v>
      </c>
      <c r="G25" s="12">
        <f>D25*F25</f>
        <v/>
      </c>
      <c r="H25" s="27" t="inlineStr">
        <is>
          <t>เปิดลิงก์ ✓</t>
        </is>
      </c>
    </row>
    <row r="26" ht="27" customHeight="1" s="65">
      <c r="B26" s="23" t="inlineStr">
        <is>
          <t>เคเบิ้ลแกลน Nylon M20 ×1.5</t>
        </is>
      </c>
      <c r="C26" s="24" t="inlineStr">
        <is>
          <t>Nylon Cable Gland · เกลียว M20 (ราคาจริง 35฿ · ลิงก์เดิม)</t>
        </is>
      </c>
      <c r="D26" s="25" t="n">
        <v>4</v>
      </c>
      <c r="E26" s="26" t="inlineStr">
        <is>
          <t>ชิ้น</t>
        </is>
      </c>
      <c r="F26" s="32" t="n">
        <v>35</v>
      </c>
      <c r="G26" s="12">
        <f>D26*F26</f>
        <v/>
      </c>
      <c r="H26" s="27" t="inlineStr">
        <is>
          <t>เปิดลิงก์ ✓</t>
        </is>
      </c>
    </row>
    <row r="27" ht="18.75" customHeight="1" s="65">
      <c r="B27" s="23" t="inlineStr">
        <is>
          <t>ราวปีกนก (DIN rail) ยาว 30cm</t>
        </is>
      </c>
      <c r="C27" s="24" t="inlineStr">
        <is>
          <t>รางปีกนก/DIN rail 35mm ยึดเทอร์มินอล/อุปกรณ์ · ยาว 30cm (ลิงก์ที่เลือก)</t>
        </is>
      </c>
      <c r="D27" s="25" t="n">
        <v>4</v>
      </c>
      <c r="E27" s="26" t="inlineStr">
        <is>
          <t>ชุด</t>
        </is>
      </c>
      <c r="F27" s="32" t="n">
        <v>30</v>
      </c>
      <c r="G27" s="12">
        <f>D27*F27</f>
        <v/>
      </c>
      <c r="H27" s="27" t="inlineStr">
        <is>
          <t>เปิดลิงก์ ✓</t>
        </is>
      </c>
    </row>
    <row r="28" ht="28.5" customHeight="1" s="65">
      <c r="B28" s="23" t="inlineStr">
        <is>
          <t>สกรูปลายสว่าน (self-drilling)</t>
        </is>
      </c>
      <c r="C28" s="24" t="inlineStr">
        <is>
          <t>สกรูเจาะเหล็กปลายสว่าน · แพ็ค 4 ชิ้น/ชุด</t>
        </is>
      </c>
      <c r="D28" s="25" t="n">
        <v>4</v>
      </c>
      <c r="E28" s="26" t="inlineStr">
        <is>
          <t>ชุด</t>
        </is>
      </c>
      <c r="F28" s="32" t="n">
        <v>10</v>
      </c>
      <c r="G28" s="12">
        <f>D28*F28</f>
        <v/>
      </c>
      <c r="H28" s="27" t="inlineStr">
        <is>
          <t>เปิดลิงก์ ✓</t>
        </is>
      </c>
    </row>
    <row r="29" ht="27" customHeight="1" s="65">
      <c r="B29" s="23" t="inlineStr">
        <is>
          <t>สายไฟ AWG22 — ดำ</t>
        </is>
      </c>
      <c r="C29" s="24" t="inlineStr">
        <is>
          <t>สายฮุคอัพ single core AWG22 · สีดำ · 5ม./ม้วน · ราคาจริง 77฿</t>
        </is>
      </c>
      <c r="D29" s="25" t="n">
        <v>1</v>
      </c>
      <c r="E29" s="26" t="inlineStr">
        <is>
          <t>ม้วน</t>
        </is>
      </c>
      <c r="F29" s="32" t="n">
        <v>77</v>
      </c>
      <c r="G29" s="12">
        <f>D29*F29</f>
        <v/>
      </c>
      <c r="H29" s="27" t="inlineStr">
        <is>
          <t>เปิดลิงก์ ✓</t>
        </is>
      </c>
    </row>
    <row r="30" ht="18.75" customHeight="1" s="65">
      <c r="B30" s="23" t="inlineStr">
        <is>
          <t>สายไฟ AWG22 — แดง</t>
        </is>
      </c>
      <c r="C30" s="24" t="inlineStr">
        <is>
          <t>สายฮุคอัพ single core AWG22 · สีแดง · 5ม./ม้วน · ราคาจริง 77฿</t>
        </is>
      </c>
      <c r="D30" s="25" t="n">
        <v>1</v>
      </c>
      <c r="E30" s="26" t="inlineStr">
        <is>
          <t>ม้วน</t>
        </is>
      </c>
      <c r="F30" s="32" t="n">
        <v>77</v>
      </c>
      <c r="G30" s="12">
        <f>D30*F30</f>
        <v/>
      </c>
      <c r="H30" s="27" t="inlineStr">
        <is>
          <t>เปิดลิงก์ ✓</t>
        </is>
      </c>
    </row>
    <row r="31" ht="27" customHeight="1" s="65">
      <c r="B31" s="23" t="inlineStr">
        <is>
          <t>สายไฟ AWG22 — เหลือง</t>
        </is>
      </c>
      <c r="C31" s="24" t="inlineStr">
        <is>
          <t>สายฮุคอัพ single core AWG22 · สีเหลือง · 5ม./ม้วน · ราคาจริง 77฿</t>
        </is>
      </c>
      <c r="D31" s="25" t="n">
        <v>1</v>
      </c>
      <c r="E31" s="26" t="inlineStr">
        <is>
          <t>ม้วน</t>
        </is>
      </c>
      <c r="F31" s="32" t="n">
        <v>77</v>
      </c>
      <c r="G31" s="12">
        <f>D31*F31</f>
        <v/>
      </c>
      <c r="H31" s="27" t="inlineStr">
        <is>
          <t>เปิดลิงก์ ✓</t>
        </is>
      </c>
    </row>
    <row r="32" ht="27" customHeight="1" s="65">
      <c r="B32" s="23" t="inlineStr">
        <is>
          <t>สายไฟ AWG22 — เขียว</t>
        </is>
      </c>
      <c r="C32" s="24" t="inlineStr">
        <is>
          <t>สายฮุคอัพ single core AWG22 · สีเขียว · 5ม./ม้วน · ราคาจริง 77฿</t>
        </is>
      </c>
      <c r="D32" s="25" t="n">
        <v>1</v>
      </c>
      <c r="E32" s="26" t="inlineStr">
        <is>
          <t>ม้วน</t>
        </is>
      </c>
      <c r="F32" s="32" t="n">
        <v>77</v>
      </c>
      <c r="G32" s="12">
        <f>D32*F32</f>
        <v/>
      </c>
      <c r="H32" s="27" t="inlineStr">
        <is>
          <t>เปิดลิงก์ ✓</t>
        </is>
      </c>
    </row>
    <row r="33" ht="27" customHeight="1" s="65">
      <c r="B33" s="23" t="inlineStr">
        <is>
          <t>LAN ต่อระหว่างตู้ (Ethernet)</t>
        </is>
      </c>
      <c r="C33" s="24" t="inlineStr">
        <is>
          <t>อุปกรณ์ LAN สำหรับเชื่อมระหว่างตู้ (ลิงก์ AliExpress · รอยืนยันชื่อ/ราคา)</t>
        </is>
      </c>
      <c r="D33" s="25" t="n">
        <v>1</v>
      </c>
      <c r="E33" s="26" t="inlineStr">
        <is>
          <t>ตัว</t>
        </is>
      </c>
      <c r="F33" s="39" t="n">
        <v>100</v>
      </c>
      <c r="G33" s="12">
        <f>D33*F33</f>
        <v/>
      </c>
      <c r="H33" s="27" t="inlineStr">
        <is>
          <t>เปิดลิงก์ ✓</t>
        </is>
      </c>
    </row>
    <row r="34" ht="27" customHeight="1" s="65">
      <c r="B34" s="23" t="inlineStr">
        <is>
          <t>DB9 RS232 female (พอร์ต 232)</t>
        </is>
      </c>
      <c r="C34" s="24" t="inlineStr">
        <is>
          <t>คอนเนกเตอร์ DB9 ตัวเมีย · พอร์ต RS232 หน้าตู้</t>
        </is>
      </c>
      <c r="D34" s="25" t="n">
        <v>2</v>
      </c>
      <c r="E34" s="26" t="inlineStr">
        <is>
          <t>ตัว</t>
        </is>
      </c>
      <c r="F34" s="39" t="n">
        <v>45</v>
      </c>
      <c r="G34" s="12">
        <f>D34*F34</f>
        <v/>
      </c>
      <c r="H34" s="27" t="inlineStr">
        <is>
          <t>เปิดลิงก์ ✓</t>
        </is>
      </c>
    </row>
    <row r="35" ht="20.25" customHeight="1" s="65">
      <c r="B35" s="23" t="inlineStr">
        <is>
          <t>ตู้เหล็ก NITTO KOGYO CH25-65TH</t>
        </is>
      </c>
      <c r="C35" s="24" t="inlineStr">
        <is>
          <t>ตู้สวิตช์บอร์ดเหล็ก กันฝุ่น/น้ำ IP4X · W600×H500×D250mm · หนา 1.2mm</t>
        </is>
      </c>
      <c r="D35" s="25" t="n">
        <v>1</v>
      </c>
      <c r="E35" s="26" t="inlineStr">
        <is>
          <t>ตู้</t>
        </is>
      </c>
      <c r="F35" s="39" t="n">
        <v>3680</v>
      </c>
      <c r="G35" s="12">
        <f>D35*F35</f>
        <v/>
      </c>
      <c r="H35" s="27" t="inlineStr">
        <is>
          <t>เปิดลิงก์ ✓</t>
        </is>
      </c>
    </row>
    <row r="36" ht="18.75" customHeight="1" s="65">
      <c r="B36" s="23" t="inlineStr">
        <is>
          <t>USB 2.0 → RS232 DB9 (สาย 2 m)</t>
        </is>
      </c>
      <c r="C36" s="24" t="inlineStr">
        <is>
          <t>สาย USB→RS232 · ต่อคอมเข้าพอร์ต 232 · ยาว 2 ม.</t>
        </is>
      </c>
      <c r="D36" s="25" t="n">
        <v>1</v>
      </c>
      <c r="E36" s="26" t="inlineStr">
        <is>
          <t>เส้น</t>
        </is>
      </c>
      <c r="F36" s="39" t="n">
        <v>250</v>
      </c>
      <c r="G36" s="12">
        <f>D36*F36</f>
        <v/>
      </c>
      <c r="H36" s="27" t="inlineStr">
        <is>
          <t>เปิดลิงก์ ✓</t>
        </is>
      </c>
    </row>
    <row r="37" ht="18.75" customHeight="1" s="65">
      <c r="B37" s="35" t="inlineStr">
        <is>
          <t>รวมตู้รวม (อุปกรณ์)</t>
        </is>
      </c>
      <c r="C37" s="35" t="n"/>
      <c r="D37" s="36" t="n"/>
      <c r="E37" s="35" t="n"/>
      <c r="F37" s="37" t="n"/>
      <c r="G37" s="38">
        <f>SUM(G5:G36)</f>
        <v/>
      </c>
      <c r="H37" s="35" t="n"/>
    </row>
    <row r="38" ht="18.75" customHeight="1" s="65"/>
    <row r="39" ht="18.75" customHeight="1" s="65">
      <c r="B39" s="3" t="inlineStr">
        <is>
          <t>ตู้เดียวคุมน้ำ+ไฟ · opto 32CH (16CH×2) อ่านพัลส์น้ำ 16–32 ตัว · RS485 ×2 บัสสำหรับมิเตอร์ไฟ DDS238 · Sensor แยกหน้า 'รวมทั้งหมด' · STM32 reg 3.3V ในตัว</t>
        </is>
      </c>
    </row>
    <row r="40" ht="18.75" customHeight="1" s="65"/>
    <row r="41" ht="18.75" customHeight="1" s="65"/>
    <row r="42" ht="18.75" customHeight="1" s="65"/>
    <row r="43" ht="18.75" customHeight="1" s="65"/>
    <row r="44" ht="18.75" customHeight="1" s="65"/>
    <row r="45" ht="18.75" customHeight="1" s="65"/>
    <row r="46" ht="18.75" customHeight="1" s="65"/>
    <row r="47" ht="18.75" customHeight="1" s="65"/>
    <row r="48" ht="18.75" customHeight="1" s="65"/>
    <row r="49" ht="18.75" customHeight="1" s="65"/>
    <row r="50" ht="18.75" customHeight="1" s="65"/>
    <row r="51" ht="18.75" customHeight="1" s="65"/>
    <row r="52" ht="18.75" customHeight="1" s="65"/>
    <row r="53" ht="18.75" customHeight="1" s="65"/>
    <row r="54" ht="18.75" customHeight="1" s="65"/>
    <row r="55" ht="18.75" customHeight="1" s="65"/>
    <row r="56" ht="18.75" customHeight="1" s="65"/>
    <row r="57" ht="18.75" customHeight="1" s="65"/>
    <row r="58" ht="18.75" customHeight="1" s="65"/>
    <row r="59" ht="18.75" customHeight="1" s="65"/>
    <row r="60" ht="18.75" customHeight="1" s="65"/>
    <row r="61" ht="18.75" customHeight="1" s="65"/>
    <row r="62" ht="18.75" customHeight="1" s="65"/>
    <row r="63" ht="18.75" customHeight="1" s="65"/>
    <row r="64" ht="18.75" customHeight="1" s="65"/>
    <row r="65" ht="18.75" customHeight="1" s="65"/>
    <row r="66" ht="18.75" customHeight="1" s="65"/>
    <row r="67" ht="18.75" customHeight="1" s="65"/>
    <row r="68" ht="18.75" customHeight="1" s="65"/>
    <row r="69" ht="18.75" customHeight="1" s="65"/>
    <row r="70" ht="18.75" customHeight="1" s="65"/>
    <row r="71" ht="18.75" customHeight="1" s="65"/>
    <row r="72" ht="18.75" customHeight="1" s="65"/>
    <row r="73" ht="18.75" customHeight="1" s="65"/>
    <row r="74" ht="18.75" customHeight="1" s="65"/>
    <row r="75" ht="18.75" customHeight="1" s="65"/>
    <row r="76" ht="18.75" customHeight="1" s="65"/>
    <row r="77" ht="18.75" customHeight="1" s="65"/>
    <row r="78" ht="18.75" customHeight="1" s="65"/>
    <row r="79" ht="18.75" customHeight="1" s="65"/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9"/>
  <sheetViews>
    <sheetView workbookViewId="0">
      <selection activeCell="H6" sqref="H6"/>
    </sheetView>
  </sheetViews>
  <sheetFormatPr baseColWidth="8" defaultRowHeight="14.25"/>
  <cols>
    <col width="3" customWidth="1" style="65" min="1" max="1"/>
    <col width="28" customWidth="1" style="65" min="2" max="2"/>
    <col width="40" customWidth="1" style="65" min="3" max="3"/>
    <col width="7" customWidth="1" style="65" min="4" max="5"/>
    <col width="13" customWidth="1" style="65" min="6" max="7"/>
    <col width="16" customWidth="1" style="65" min="8" max="8"/>
  </cols>
  <sheetData>
    <row r="1" ht="16.5" customHeight="1" s="65">
      <c r="B1" s="42" t="inlineStr">
        <is>
          <t>ตู้ไฟ Schneider — กล่องไฟมิเตอร์ DMR121 (ไฟเข้า → มิเตอร์ → ออกห้อง)</t>
        </is>
      </c>
    </row>
    <row r="2">
      <c r="B2" s="43" t="inlineStr">
        <is>
          <t>watt meter Schneider DMR121 ×16 (ลูกค้าจัดหาเอง) · เราจัดหา กล่อง+ราง+แกลนด์+สาย · มีพอร์ต RS485 Modbus ต่อไปตู้รวม · ช่องเหลือง=แก้ราคาได้ · THB</t>
        </is>
      </c>
    </row>
    <row r="4">
      <c r="B4" s="44" t="inlineStr">
        <is>
          <t>รายการ</t>
        </is>
      </c>
      <c r="C4" s="44" t="inlineStr">
        <is>
          <t>สเปก / รุ่น</t>
        </is>
      </c>
      <c r="D4" s="44" t="inlineStr">
        <is>
          <t>จำนวน</t>
        </is>
      </c>
      <c r="E4" s="44" t="inlineStr">
        <is>
          <t>หน่วย</t>
        </is>
      </c>
      <c r="F4" s="44" t="inlineStr">
        <is>
          <t>ราคา/หน่วย (฿)</t>
        </is>
      </c>
      <c r="G4" s="44" t="inlineStr">
        <is>
          <t>รวม (฿)</t>
        </is>
      </c>
      <c r="H4" s="44" t="inlineStr">
        <is>
          <t>ลิงก์</t>
        </is>
      </c>
    </row>
    <row r="5">
      <c r="B5" s="45" t="inlineStr">
        <is>
          <t>watt meter Schneider DMR121</t>
        </is>
      </c>
      <c r="C5" s="45" t="inlineStr">
        <is>
          <t>RS485 Modbus · ⭐ ลูกค้าจัดหาเอง (ไม่คิดราคา)</t>
        </is>
      </c>
      <c r="D5" s="45" t="n">
        <v>16</v>
      </c>
      <c r="E5" s="45" t="inlineStr">
        <is>
          <t>ตัว</t>
        </is>
      </c>
      <c r="F5" s="46" t="n">
        <v>0</v>
      </c>
      <c r="G5" s="45">
        <f>D5*F5</f>
        <v/>
      </c>
      <c r="H5" s="45" t="inlineStr">
        <is>
          <t>ค้นหา</t>
        </is>
      </c>
    </row>
    <row r="6">
      <c r="B6" s="45" t="inlineStr">
        <is>
          <t>ตู้ enclosure GLINK เบอร์ใหญ่</t>
        </is>
      </c>
      <c r="C6" s="45" t="inlineStr">
        <is>
          <t>จุ 16 มิเตอร์ modular + เทอร์มินอล · รอยืนยันรุ่น (GCB-05/06)</t>
        </is>
      </c>
      <c r="D6" s="45" t="n">
        <v>1</v>
      </c>
      <c r="E6" s="45" t="inlineStr">
        <is>
          <t>ตู้</t>
        </is>
      </c>
      <c r="F6" s="46" t="n">
        <v>1400</v>
      </c>
      <c r="G6" s="45">
        <f>D6*F6</f>
        <v/>
      </c>
      <c r="H6" s="45" t="inlineStr">
        <is>
          <t>เปิดลิงก์ ✓</t>
        </is>
      </c>
    </row>
    <row r="7">
      <c r="B7" s="45" t="inlineStr">
        <is>
          <t>ราง DIN (ปีกนก) 35mm</t>
        </is>
      </c>
      <c r="C7" s="45" t="inlineStr">
        <is>
          <t>ยึดมิเตอร์ + เทอร์มินอล · ยาว ~1ม./ชุด</t>
        </is>
      </c>
      <c r="D7" s="45" t="n">
        <v>8</v>
      </c>
      <c r="E7" s="45" t="inlineStr">
        <is>
          <t>ชุด</t>
        </is>
      </c>
      <c r="F7" s="46" t="n">
        <v>30</v>
      </c>
      <c r="G7" s="45">
        <f>D7*F7</f>
        <v/>
      </c>
      <c r="H7" s="45" t="inlineStr">
        <is>
          <t>เปิดลิงก์ ✓</t>
        </is>
      </c>
    </row>
    <row r="8">
      <c r="B8" s="45" t="inlineStr">
        <is>
          <t>เทอร์มินอล UK6N (power 6sq)</t>
        </is>
      </c>
      <c r="C8" s="45" t="inlineStr">
        <is>
          <t>รับสาย 6 sq.mm เข้า/ออกห้อง</t>
        </is>
      </c>
      <c r="D8" s="45" t="n">
        <v>36</v>
      </c>
      <c r="E8" s="45" t="inlineStr">
        <is>
          <t>ตัว</t>
        </is>
      </c>
      <c r="F8" s="46" t="n">
        <v>18</v>
      </c>
      <c r="G8" s="45">
        <f>D8*F8</f>
        <v/>
      </c>
      <c r="H8" s="45" t="inlineStr">
        <is>
          <t>ค้นหา</t>
        </is>
      </c>
    </row>
    <row r="9">
      <c r="B9" s="45" t="inlineStr">
        <is>
          <t>สายไฟ THW 6 sq.mm</t>
        </is>
      </c>
      <c r="C9" s="45" t="inlineStr">
        <is>
          <t>เข้า/ออกห้อง · ระบุใช้ THW 6 sq.mm · ⚠ รอแปลนจากลูกค้า (ยังไม่คิดราคา)</t>
        </is>
      </c>
      <c r="D9" s="45" t="inlineStr">
        <is>
          <t>ตามแปลน</t>
        </is>
      </c>
      <c r="E9" s="45" t="n"/>
      <c r="F9" s="59" t="n"/>
      <c r="G9" s="45" t="n"/>
      <c r="H9" s="45" t="inlineStr">
        <is>
          <t>ค้นหา</t>
        </is>
      </c>
    </row>
    <row r="10">
      <c r="B10" s="45" t="inlineStr">
        <is>
          <t>เคเบิ้ลแกลน Nylon M25</t>
        </is>
      </c>
      <c r="C10" s="45" t="inlineStr">
        <is>
          <t>สาย 6sq เข้า/ออก · กันฝุ่น/น้ำ</t>
        </is>
      </c>
      <c r="D10" s="45" t="n">
        <v>18</v>
      </c>
      <c r="E10" s="45" t="inlineStr">
        <is>
          <t>ชิ้น</t>
        </is>
      </c>
      <c r="F10" s="46" t="n">
        <v>45</v>
      </c>
      <c r="G10" s="45">
        <f>D10*F10</f>
        <v/>
      </c>
      <c r="H10" s="45" t="inlineStr">
        <is>
          <t>เปิดลิงก์ ✓</t>
        </is>
      </c>
    </row>
    <row r="11">
      <c r="B11" s="45" t="inlineStr">
        <is>
          <t>สาย RS485 Modbus (shielded 2C)</t>
        </is>
      </c>
      <c r="C11" s="45" t="inlineStr">
        <is>
          <t>บัสมิเตอร์ Modbus → ตู้รวม · มีชีลด์</t>
        </is>
      </c>
      <c r="D11" s="45" t="n">
        <v>1</v>
      </c>
      <c r="E11" s="45" t="inlineStr">
        <is>
          <t>ม้วน</t>
        </is>
      </c>
      <c r="F11" s="46" t="n">
        <v>1500</v>
      </c>
      <c r="G11" s="45">
        <f>D11*F11</f>
        <v/>
      </c>
      <c r="H11" s="45" t="inlineStr">
        <is>
          <t>ค้นหา</t>
        </is>
      </c>
    </row>
    <row r="12">
      <c r="B12" s="45" t="inlineStr">
        <is>
          <t>RS485 terminator 120Ω + connector</t>
        </is>
      </c>
      <c r="C12" s="45" t="inlineStr">
        <is>
          <t>ปลายบัส + จุดต่อไปตู้รวม</t>
        </is>
      </c>
      <c r="D12" s="45" t="n">
        <v>1</v>
      </c>
      <c r="E12" s="45" t="inlineStr">
        <is>
          <t>ชุด</t>
        </is>
      </c>
      <c r="F12" s="46" t="n">
        <v>50</v>
      </c>
      <c r="G12" s="45">
        <f>D12*F12</f>
        <v/>
      </c>
      <c r="H12" s="45" t="inlineStr">
        <is>
          <t>ค้นหา</t>
        </is>
      </c>
    </row>
    <row r="13">
      <c r="B13" s="45" t="inlineStr">
        <is>
          <t>End clamp E/UK (เอ็นแคลมป์)</t>
        </is>
      </c>
      <c r="C13" s="45" t="inlineStr">
        <is>
          <t>ล็อกปลายราง</t>
        </is>
      </c>
      <c r="D13" s="45" t="n">
        <v>16</v>
      </c>
      <c r="E13" s="45" t="inlineStr">
        <is>
          <t>ตัว</t>
        </is>
      </c>
      <c r="F13" s="46" t="n">
        <v>7</v>
      </c>
      <c r="G13" s="45">
        <f>D13*F13</f>
        <v/>
      </c>
      <c r="H13" s="45" t="inlineStr">
        <is>
          <t>เปิดลิงก์ ✓</t>
        </is>
      </c>
    </row>
    <row r="14">
      <c r="B14" s="45" t="inlineStr">
        <is>
          <t>มาร์คเกอร์หมายเลข</t>
        </is>
      </c>
      <c r="C14" s="45" t="inlineStr">
        <is>
          <t>ป้ายเลขมิเตอร์/ห้อง</t>
        </is>
      </c>
      <c r="D14" s="45" t="n">
        <v>2</v>
      </c>
      <c r="E14" s="45" t="inlineStr">
        <is>
          <t>ชุด</t>
        </is>
      </c>
      <c r="F14" s="46" t="n">
        <v>7</v>
      </c>
      <c r="G14" s="45">
        <f>D14*F14</f>
        <v/>
      </c>
      <c r="H14" s="45" t="inlineStr">
        <is>
          <t>เปิดลิงก์ ✓</t>
        </is>
      </c>
    </row>
    <row r="15">
      <c r="B15" s="45" t="inlineStr">
        <is>
          <t>สะพานสาย EB10-6</t>
        </is>
      </c>
      <c r="C15" s="45" t="inlineStr">
        <is>
          <t>จัมเปอร์เชื่อมขั้ว</t>
        </is>
      </c>
      <c r="D15" s="45" t="n">
        <v>4</v>
      </c>
      <c r="E15" s="45" t="inlineStr">
        <is>
          <t>ชุด</t>
        </is>
      </c>
      <c r="F15" s="46" t="n">
        <v>30</v>
      </c>
      <c r="G15" s="45">
        <f>D15*F15</f>
        <v/>
      </c>
      <c r="H15" s="45" t="inlineStr">
        <is>
          <t>เปิดลิงก์ ✓</t>
        </is>
      </c>
    </row>
    <row r="16">
      <c r="B16" s="47" t="inlineStr">
        <is>
          <t>รวมตู้ไฟ Schneider (อุปกรณ์)</t>
        </is>
      </c>
      <c r="C16" s="48" t="n"/>
      <c r="D16" s="48" t="n"/>
      <c r="E16" s="48" t="n"/>
      <c r="F16" s="48" t="n"/>
      <c r="G16" s="47">
        <f>SUM(G5:G15)</f>
        <v/>
      </c>
      <c r="H16" s="48" t="n"/>
    </row>
    <row r="18">
      <c r="B18" t="inlineStr">
        <is>
          <t>⭐ มิเตอร์ DMR121 ×16 ลูกค้าซื้อเอง (0฿) · ไฟเข้า→DMR121→ออกห้อง · ไม่มีเบรกเกอร์ · บัส RS485 Modbus ต่อไป 'ตู้รวม' (STM32)</t>
        </is>
      </c>
    </row>
    <row r="19">
      <c r="B19" t="inlineStr">
        <is>
          <t>⚠ ราคา placeholder: กล่อง/UK6N/THW/แกลนด์M25/สาย RS485/terminator · สาย THW ตามระยะจริง · ยืนยันรุ่น GLINK เบอร์ใหญ่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/>
    <pageSetUpPr/>
  </sheetPr>
  <dimension ref="B1:F15"/>
  <sheetViews>
    <sheetView workbookViewId="0">
      <selection activeCell="F24" sqref="F24"/>
    </sheetView>
  </sheetViews>
  <sheetFormatPr baseColWidth="8" defaultRowHeight="14.25"/>
  <cols>
    <col width="3" bestFit="1" customWidth="1" style="65" min="1" max="1"/>
    <col width="32" bestFit="1" customWidth="1" style="63" min="2" max="2"/>
    <col width="8" bestFit="1" customWidth="1" style="64" min="3" max="3"/>
    <col width="14" bestFit="1" customWidth="1" style="64" min="4" max="4"/>
    <col width="15" bestFit="1" customWidth="1" style="65" min="5" max="5"/>
    <col width="18" bestFit="1" customWidth="1" style="65" min="6" max="6"/>
  </cols>
  <sheetData>
    <row r="1" ht="18.75" customHeight="1" s="65">
      <c r="B1" s="1" t="inlineStr">
        <is>
          <t>สรุปราคารวม — ตู้รวม (น้ำ+ไฟ) + Sensor น้ำ</t>
        </is>
      </c>
    </row>
    <row r="2" ht="18.75" customHeight="1" s="65">
      <c r="B2" s="3" t="inlineStr">
        <is>
          <t>ยอดดึงจากหน้า 'ตู้รวม' อัตโนมัติ · แก้ราคา sensor ช่องเหลือง · ไม่รวมส่ง/VAT/enclosure</t>
        </is>
      </c>
    </row>
    <row r="3" ht="18.75" customHeight="1" s="65"/>
    <row r="4" ht="18.75" customHeight="1" s="65">
      <c r="B4" s="5" t="inlineStr">
        <is>
          <t>รายการ</t>
        </is>
      </c>
      <c r="C4" s="6" t="inlineStr">
        <is>
          <t>จำนวน</t>
        </is>
      </c>
      <c r="D4" s="6" t="inlineStr">
        <is>
          <t>ราคา/หน่วย (฿)</t>
        </is>
      </c>
      <c r="E4" s="5" t="inlineStr">
        <is>
          <t>รวม (฿)</t>
        </is>
      </c>
      <c r="F4" s="5" t="inlineStr">
        <is>
          <t>ลิงก์/หมายเหตุ</t>
        </is>
      </c>
    </row>
    <row r="5" ht="18.75" customHeight="1" s="65">
      <c r="B5" s="7" t="inlineStr">
        <is>
          <t>ตู้รวม (อุปกรณ์)</t>
        </is>
      </c>
      <c r="C5" s="8" t="inlineStr">
        <is>
          <t>1 ตู้</t>
        </is>
      </c>
      <c r="D5" s="9" t="inlineStr">
        <is>
          <t>-</t>
        </is>
      </c>
      <c r="E5" s="10">
        <f>ตู้รวม!G37</f>
        <v/>
      </c>
      <c r="F5" s="11" t="inlineStr">
        <is>
          <t>หน้า 'ตู้รวม'</t>
        </is>
      </c>
    </row>
    <row r="6" ht="18.75" customHeight="1" s="65">
      <c r="B6" s="49" t="inlineStr">
        <is>
          <t>ตู้ไฟ Schneider (อุปกรณ์)</t>
        </is>
      </c>
      <c r="C6" s="49" t="inlineStr">
        <is>
          <t>1 ตู้</t>
        </is>
      </c>
      <c r="D6" s="49" t="inlineStr">
        <is>
          <t>-</t>
        </is>
      </c>
      <c r="E6" s="49">
        <f>'ตู้ไฟ Schneider'!G16</f>
        <v/>
      </c>
      <c r="F6" s="49" t="inlineStr">
        <is>
          <t>หน้า 'ตู้ไฟ Schneider'</t>
        </is>
      </c>
    </row>
    <row r="7" ht="18.75" customHeight="1" s="65">
      <c r="B7" s="50" t="inlineStr">
        <is>
          <t>มิเตอร์น้ำพัลส์ NPN 2หุน (⚠ แก้ราคาจริงจากลิงก์)</t>
        </is>
      </c>
      <c r="C7" s="51" t="n">
        <v>16</v>
      </c>
      <c r="D7" s="52" t="n">
        <v>350</v>
      </c>
      <c r="E7" s="53">
        <f>C7*D7</f>
        <v/>
      </c>
      <c r="F7" s="54" t="inlineStr">
        <is>
          <t>เปิดลิงก์ ✓</t>
        </is>
      </c>
    </row>
    <row r="8" ht="18.75" customHeight="1" s="65">
      <c r="B8" s="55" t="inlineStr">
        <is>
          <t>รวมทั้งหมด</t>
        </is>
      </c>
      <c r="C8" s="56" t="n"/>
      <c r="D8" s="57" t="n"/>
      <c r="E8" s="57">
        <f>SUM(E5:E7)</f>
        <v/>
      </c>
      <c r="F8" s="58" t="n"/>
    </row>
    <row r="9" ht="18.75" customHeight="1" s="65">
      <c r="B9" s="13" t="n"/>
      <c r="C9" s="61" t="n"/>
      <c r="D9" s="61" t="n"/>
      <c r="E9" s="61" t="n"/>
      <c r="F9" s="62" t="n"/>
    </row>
    <row r="10" ht="18.75" customHeight="1" s="65">
      <c r="B10" s="63" t="n"/>
    </row>
    <row r="11" ht="18.75" customHeight="1" s="65">
      <c r="B11" s="60" t="inlineStr">
        <is>
          <t>■ ช่องสีเหลือง = 'ราคา/หน่วย' แก้ได้ตรง ๆ → รวมทุกหน้าอัปเดตอัตโนมัติ (เป็นสูตร Excel)</t>
        </is>
      </c>
      <c r="C11" s="61" t="n"/>
      <c r="D11" s="61" t="n"/>
      <c r="E11" s="61" t="n"/>
      <c r="F11" s="62" t="n"/>
    </row>
    <row r="12" ht="18.75" customHeight="1" s="65">
      <c r="B12" s="60" t="inlineStr">
        <is>
          <t>■ รวมตู้ enclosure (GLINK GCB-04) + เทอร์มินอล/ราง/สะพาน/สาย/แกลนด์ แล้ว · ยังไม่รวม ค่าติดตั้ง/แรงงาน</t>
        </is>
      </c>
      <c r="C12" s="61" t="n"/>
      <c r="D12" s="61" t="n"/>
      <c r="E12" s="61" t="n"/>
      <c r="F12" s="62" t="n"/>
    </row>
    <row r="13" ht="18.75" customHeight="1" s="65">
      <c r="B13" s="60" t="inlineStr">
        <is>
          <t>■ PSU อัปเกรดเป็น MEAN WELL แท้ (Shopee): MDR-60-24 (850฿) + MDR-20-5 (645฿) ต่อตู้ — ทนกว่าโคลน</t>
        </is>
      </c>
      <c r="C13" s="61" t="n"/>
      <c r="D13" s="61" t="n"/>
      <c r="E13" s="61" t="n"/>
      <c r="F13" s="62" t="n"/>
    </row>
    <row r="14" ht="18.75" customHeight="1" s="65">
      <c r="B14" s="60" t="inlineStr">
        <is>
          <t>■ ยุบเหลือ 1 ตู้ (น้ำ+ไฟ) · opto 32CH (16CH×2) อ่านพัลส์น้ำ · RS485 ×2 บัส (มิเตอร์ไฟ DDS238 Modbus + สำรอง)</t>
        </is>
      </c>
      <c r="C14" s="61" t="n"/>
      <c r="D14" s="61" t="n"/>
      <c r="E14" s="61" t="n"/>
      <c r="F14" s="62" t="n"/>
    </row>
    <row r="15">
      <c r="B15" s="60" t="inlineStr">
        <is>
          <t>■ opto 32CH = 679.95×2 = 1,359.90฿ (ลิงก์เดิม 16CH×2) · มิเตอร์น้ำ 2หุน ~350฿ · TTL-RS485 DIN rail (Waveshare B) ~490฿ ×2 — แก้ช่องเหลืองได้</t>
        </is>
      </c>
      <c r="C15" s="61" t="n"/>
      <c r="D15" s="61" t="n"/>
      <c r="E15" s="61" t="n"/>
      <c r="F15" s="62" t="n"/>
    </row>
  </sheetData>
  <mergeCells count="5">
    <mergeCell ref="B12:F12"/>
    <mergeCell ref="B10:F10"/>
    <mergeCell ref="B11:F11"/>
    <mergeCell ref="B14:F14"/>
    <mergeCell ref="B13:F13"/>
  </mergeCells>
  <hyperlinks>
    <hyperlink xmlns:r="http://schemas.openxmlformats.org/officeDocument/2006/relationships" ref="F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2026-08-20T17:34:09Z</dcterms:created>
  <dcterms:modified xmlns:dcterms="http://purl.org/dc/terms/" xmlns:xsi="http://www.w3.org/2001/XMLSchema-instance" xsi:type="dcterms:W3CDTF">2026-08-26T07:44:17Z</dcterms:modified>
  <cp:lastModifiedBy>NOLTAWAT PLOUNGBUNMEE</cp:lastModifiedBy>
</cp:coreProperties>
</file>