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ตู้รวม" sheetId="1" state="visible" r:id="rId1"/>
    <sheet xmlns:r="http://schemas.openxmlformats.org/officeDocument/2006/relationships" name="รวมทั้งหมด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eelawadee"/>
      <family val="2"/>
      <color rgb="FF1f3864"/>
      <sz val="14"/>
    </font>
    <font>
      <name val="Leelawadee"/>
      <family val="2"/>
      <color rgb="FF808080"/>
      <sz val="9"/>
    </font>
    <font>
      <name val="Leelawadee"/>
      <family val="2"/>
      <color rgb="FFffffff"/>
      <sz val="10"/>
    </font>
    <font>
      <name val="Leelawadee"/>
      <family val="2"/>
      <color rgb="FF000000"/>
      <sz val="10"/>
    </font>
    <font>
      <name val="Leelawadee"/>
      <family val="2"/>
      <color rgb="FF000000"/>
      <sz val="9"/>
    </font>
    <font>
      <name val="Leelawadee"/>
      <family val="2"/>
      <color rgb="FF0563c1"/>
      <sz val="9"/>
      <u val="single"/>
    </font>
    <font>
      <name val="Leelawadee"/>
      <family val="2"/>
      <color rgb="FF000000"/>
      <sz val="12"/>
    </font>
    <font>
      <name val="Leelawadee"/>
      <family val="2"/>
      <color rgb="FF000000"/>
      <sz val="13"/>
    </font>
    <font>
      <name val="Leelawadee"/>
      <family val="2"/>
      <color rgb="FF1f3864"/>
      <sz val="9"/>
    </font>
    <font>
      <name val="Calibri"/>
      <family val="2"/>
      <color theme="1"/>
      <sz val="11"/>
    </font>
    <font>
      <name val="Leelawadee"/>
      <family val="2"/>
      <color rgb="FF444444"/>
      <sz val="8"/>
    </font>
    <font>
      <name val="Leelawadee"/>
      <family val="2"/>
      <color rgb="FF000000"/>
      <sz val="11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6fc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ffff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0" fontId="1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2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3" fontId="5" fillId="3" borderId="1" applyAlignment="1" pivotButton="0" quotePrefix="0" xfId="0">
      <alignment horizontal="center"/>
    </xf>
    <xf numFmtId="3" fontId="4" fillId="3" borderId="1" applyAlignment="1" pivotButton="0" quotePrefix="0" xfId="0">
      <alignment horizontal="center"/>
    </xf>
    <xf numFmtId="4" fontId="4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left"/>
    </xf>
    <xf numFmtId="3" fontId="5" fillId="4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4" fontId="4" fillId="4" borderId="1" applyAlignment="1" pivotButton="0" quotePrefix="0" xfId="0">
      <alignment horizontal="right"/>
    </xf>
    <xf numFmtId="0" fontId="2" fillId="4" borderId="1" applyAlignment="1" pivotButton="0" quotePrefix="0" xfId="0">
      <alignment horizontal="left"/>
    </xf>
    <xf numFmtId="0" fontId="4" fillId="6" borderId="1" applyAlignment="1" pivotButton="0" quotePrefix="0" xfId="0">
      <alignment horizontal="left" wrapText="1"/>
    </xf>
    <xf numFmtId="3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left"/>
    </xf>
    <xf numFmtId="3" fontId="4" fillId="7" borderId="1" applyAlignment="1" pivotButton="0" quotePrefix="0" xfId="0">
      <alignment horizontal="left"/>
    </xf>
    <xf numFmtId="4" fontId="8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0" fontId="9" fillId="0" borderId="1" applyAlignment="1" pivotButton="0" quotePrefix="0" xfId="0">
      <alignment horizontal="left"/>
    </xf>
    <xf numFmtId="3" fontId="10" fillId="0" borderId="2" applyAlignment="1" pivotButton="0" quotePrefix="0" xfId="0">
      <alignment horizontal="left"/>
    </xf>
    <xf numFmtId="0" fontId="10" fillId="0" borderId="2" applyAlignment="1" pivotButton="0" quotePrefix="0" xfId="0">
      <alignment horizontal="left"/>
    </xf>
    <xf numFmtId="0" fontId="10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wrapText="1"/>
    </xf>
    <xf numFmtId="0" fontId="3" fillId="2" borderId="1" applyAlignment="1" pivotButton="0" quotePrefix="0" xfId="0">
      <alignment horizontal="center" wrapText="1"/>
    </xf>
    <xf numFmtId="3" fontId="3" fillId="2" borderId="1" applyAlignment="1" pivotButton="0" quotePrefix="0" xfId="0">
      <alignment horizontal="center" wrapText="1"/>
    </xf>
    <xf numFmtId="4" fontId="3" fillId="2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left" wrapText="1"/>
    </xf>
    <xf numFmtId="0" fontId="11" fillId="4" borderId="1" applyAlignment="1" pivotButton="0" quotePrefix="0" xfId="0">
      <alignment horizontal="left" wrapText="1"/>
    </xf>
    <xf numFmtId="3" fontId="4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left" wrapText="1"/>
    </xf>
    <xf numFmtId="3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4" fontId="4" fillId="5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3" fontId="4" fillId="6" borderId="1" applyAlignment="1" pivotButton="0" quotePrefix="0" xfId="0">
      <alignment horizontal="left"/>
    </xf>
    <xf numFmtId="4" fontId="4" fillId="6" borderId="1" applyAlignment="1" pivotButton="0" quotePrefix="0" xfId="0">
      <alignment horizontal="left"/>
    </xf>
    <xf numFmtId="4" fontId="12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4" fillId="8" borderId="1" applyAlignment="1" pivotButton="0" quotePrefix="0" xfId="0">
      <alignment horizontal="right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liexpress.com/wholesale?SearchText=STM32H743VIT6%20board%20WeAct" TargetMode="External" Id="rId1"/><Relationship Type="http://schemas.openxmlformats.org/officeDocument/2006/relationships/hyperlink" Target="https://www.aliexpress.com/wholesale?SearchText=micro%20sd%20card%2032gb%20class10" TargetMode="External" Id="rId2"/><Relationship Type="http://schemas.openxmlformats.org/officeDocument/2006/relationships/hyperlink" Target="https://jlcpcb.com/" TargetMode="External" Id="rId3"/><Relationship Type="http://schemas.openxmlformats.org/officeDocument/2006/relationships/hyperlink" Target="https://th.aliexpress.com/item/4000459030365.html" TargetMode="External" Id="rId4"/><Relationship Type="http://schemas.openxmlformats.org/officeDocument/2006/relationships/hyperlink" Target="https://www.aliexpress.com/wholesale?SearchText=W5500%20ethernet%20module" TargetMode="External" Id="rId5"/><Relationship Type="http://schemas.openxmlformats.org/officeDocument/2006/relationships/hyperlink" Target="https://th.aliexpress.com/item/1005009277055997.html" TargetMode="External" Id="rId6"/><Relationship Type="http://schemas.openxmlformats.org/officeDocument/2006/relationships/hyperlink" Target="https://th.aliexpress.com/item/1005007047542338.html" TargetMode="External" Id="rId7"/><Relationship Type="http://schemas.openxmlformats.org/officeDocument/2006/relationships/hyperlink" Target="https://www.aliexpress.com/wholesale?SearchText=LCD%201604%20i2c%2016x4" TargetMode="External" Id="rId8"/><Relationship Type="http://schemas.openxmlformats.org/officeDocument/2006/relationships/hyperlink" Target="https://shopee.co.th/search?keyword=MEAN%20WELL%20MDR-60-24" TargetMode="External" Id="rId9"/><Relationship Type="http://schemas.openxmlformats.org/officeDocument/2006/relationships/hyperlink" Target="https://shopee.co.th/search?keyword=MEAN%20WELL%20MDR-20-5" TargetMode="External" Id="rId10"/><Relationship Type="http://schemas.openxmlformats.org/officeDocument/2006/relationships/hyperlink" Target="https://shopee.co.th/product/1365592485/26965725083" TargetMode="External" Id="rId11"/><Relationship Type="http://schemas.openxmlformats.org/officeDocument/2006/relationships/hyperlink" Target="https://shopee.co.th/product/1365592485/26965725083" TargetMode="External" Id="rId12"/><Relationship Type="http://schemas.openxmlformats.org/officeDocument/2006/relationships/hyperlink" Target="https://shopee.co.th/product/1365592485/26965725083" TargetMode="External" Id="rId13"/><Relationship Type="http://schemas.openxmlformats.org/officeDocument/2006/relationships/hyperlink" Target="https://shopee.co.th/product/1365592485/26965725083" TargetMode="External" Id="rId14"/><Relationship Type="http://schemas.openxmlformats.org/officeDocument/2006/relationships/hyperlink" Target="https://shopee.co.th/product/1365592485/26965725083" TargetMode="External" Id="rId15"/><Relationship Type="http://schemas.openxmlformats.org/officeDocument/2006/relationships/hyperlink" Target="https://shopee.co.th/product/1365592485/26965725083" TargetMode="External" Id="rId16"/><Relationship Type="http://schemas.openxmlformats.org/officeDocument/2006/relationships/hyperlink" Target="https://shopee.co.th/product/1365592485/26965725083" TargetMode="External" Id="rId17"/><Relationship Type="http://schemas.openxmlformats.org/officeDocument/2006/relationships/hyperlink" Target="https://shopee.co.th/product/1365592485/26965725083" TargetMode="External" Id="rId18"/><Relationship Type="http://schemas.openxmlformats.org/officeDocument/2006/relationships/hyperlink" Target="https://shopee.co.th/product/1365592485/26965725083" TargetMode="External" Id="rId19"/><Relationship Type="http://schemas.openxmlformats.org/officeDocument/2006/relationships/hyperlink" Target="https://shopee.co.th/product/526483492/28945355689" TargetMode="External" Id="rId20"/><Relationship Type="http://schemas.openxmlformats.org/officeDocument/2006/relationships/hyperlink" Target="https://shopee.co.th/product/2967600/43004325718" TargetMode="External" Id="rId21"/><Relationship Type="http://schemas.openxmlformats.org/officeDocument/2006/relationships/hyperlink" Target="https://shopee.co.th/product/1268422/3910846993" TargetMode="External" Id="rId22"/><Relationship Type="http://schemas.openxmlformats.org/officeDocument/2006/relationships/hyperlink" Target="https://shopee.co.th/product/1268422/3910846993" TargetMode="External" Id="rId23"/><Relationship Type="http://schemas.openxmlformats.org/officeDocument/2006/relationships/hyperlink" Target="https://www.glink.in.th/gcb-04/" TargetMode="External" Id="rId24"/><Relationship Type="http://schemas.openxmlformats.org/officeDocument/2006/relationships/hyperlink" Target="https://shopee.co.th/product/1047998802/15498146528" TargetMode="External" Id="rId25"/><Relationship Type="http://schemas.openxmlformats.org/officeDocument/2006/relationships/hyperlink" Target="https://shopee.co.th/product/1047998802/15498146528" TargetMode="External" Id="rId26"/><Relationship Type="http://schemas.openxmlformats.org/officeDocument/2006/relationships/hyperlink" Target="https://shopee.co.th/product/1234441872/40856697123" TargetMode="External" Id="rId27"/><Relationship Type="http://schemas.openxmlformats.org/officeDocument/2006/relationships/hyperlink" Target="https://shopee.co.th/product/1234441872/40856697123" TargetMode="External" Id="rId28"/><Relationship Type="http://schemas.openxmlformats.org/officeDocument/2006/relationships/hyperlink" Target="https://shopee.co.th/product/1234441872/40856697123" TargetMode="External" Id="rId29"/><Relationship Type="http://schemas.openxmlformats.org/officeDocument/2006/relationships/hyperlink" Target="https://shopee.co.th/product/1234441872/40856697123" TargetMode="External" Id="rId30"/><Relationship Type="http://schemas.openxmlformats.org/officeDocument/2006/relationships/hyperlink" Target="https://th.aliexpress.com/item/1005008660211731.html" TargetMode="External" Id="rId3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H80"/>
  <sheetViews>
    <sheetView tabSelected="1" workbookViewId="0">
      <selection activeCell="A1" sqref="A1"/>
    </sheetView>
  </sheetViews>
  <sheetFormatPr baseColWidth="8" defaultRowHeight="15"/>
  <cols>
    <col width="3.005" bestFit="1" customWidth="1" style="30" min="1" max="1"/>
    <col width="28.005" bestFit="1" customWidth="1" style="30" min="2" max="2"/>
    <col width="40.005" bestFit="1" customWidth="1" style="30" min="3" max="3"/>
    <col width="7.005" bestFit="1" customWidth="1" style="32" min="4" max="4"/>
    <col width="7.005" bestFit="1" customWidth="1" style="30" min="5" max="5"/>
    <col width="13.005" bestFit="1" customWidth="1" style="55" min="6" max="6"/>
    <col width="13.005" bestFit="1" customWidth="1" style="30" min="7" max="7"/>
    <col width="16.005" bestFit="1" customWidth="1" style="30" min="8" max="8"/>
  </cols>
  <sheetData>
    <row r="1" ht="18.75" customHeight="1">
      <c r="A1" s="30" t="n"/>
      <c r="B1" s="2" t="inlineStr">
        <is>
          <t>ตู้รวม (Water + Electric) — ตู้ควบคุมวัดน้ำ+ไฟ STM32 (ตู้เดียว)</t>
        </is>
      </c>
      <c r="C1" s="30" t="n"/>
      <c r="D1" s="32" t="n"/>
      <c r="E1" s="30" t="n"/>
      <c r="F1" s="55" t="n"/>
      <c r="G1" s="30" t="n"/>
      <c r="H1" s="30" t="n"/>
    </row>
    <row r="2" ht="18.75" customHeight="1">
      <c r="A2" s="30" t="n"/>
      <c r="B2" s="4" t="inlineStr">
        <is>
          <t>ยุบเหลือ 1 ตู้ · อ่านพัลส์น้ำ (opto 32CH) + มิเตอร์ไฟ RS485 · ช่องเหลือง = แก้ราคาได้ · รวมอัตโนมัติ · ส.ค. 2026 · THB</t>
        </is>
      </c>
      <c r="C2" s="30" t="n"/>
      <c r="D2" s="32" t="n"/>
      <c r="E2" s="30" t="n"/>
      <c r="F2" s="55" t="n"/>
      <c r="G2" s="30" t="n"/>
      <c r="H2" s="30" t="n"/>
    </row>
    <row r="3" ht="18.75" customHeight="1">
      <c r="A3" s="30" t="n"/>
      <c r="B3" s="30" t="n"/>
      <c r="C3" s="30" t="n"/>
      <c r="D3" s="32" t="n"/>
      <c r="E3" s="30" t="n"/>
      <c r="F3" s="55" t="n"/>
      <c r="G3" s="30" t="n"/>
      <c r="H3" s="30" t="n"/>
    </row>
    <row r="4" ht="18.75" customFormat="1" customHeight="1" s="34">
      <c r="A4" s="35" t="n"/>
      <c r="B4" s="36" t="inlineStr">
        <is>
          <t>รายการ</t>
        </is>
      </c>
      <c r="C4" s="36" t="inlineStr">
        <is>
          <t>สเปก / รุ่น</t>
        </is>
      </c>
      <c r="D4" s="37" t="inlineStr">
        <is>
          <t>จำนวน</t>
        </is>
      </c>
      <c r="E4" s="36" t="inlineStr">
        <is>
          <t>หน่วย</t>
        </is>
      </c>
      <c r="F4" s="38" t="inlineStr">
        <is>
          <t>ราคา/หน่วย (฿)</t>
        </is>
      </c>
      <c r="G4" s="36" t="inlineStr">
        <is>
          <t>รวม (฿)</t>
        </is>
      </c>
      <c r="H4" s="36" t="inlineStr">
        <is>
          <t>ลิงก์</t>
        </is>
      </c>
    </row>
    <row r="5" ht="18.75" customHeight="1">
      <c r="A5" s="30" t="n"/>
      <c r="B5" s="39" t="inlineStr">
        <is>
          <t>STM32H743VIT6 core board</t>
        </is>
      </c>
      <c r="C5" s="40" t="inlineStr">
        <is>
          <t>WeAct MiniSTM32H743 · มี microSD slot · LQFP100</t>
        </is>
      </c>
      <c r="D5" s="41" t="n">
        <v>1</v>
      </c>
      <c r="E5" s="42" t="inlineStr">
        <is>
          <t>บอร์ด</t>
        </is>
      </c>
      <c r="F5" s="16" t="n">
        <v>450</v>
      </c>
      <c r="G5" s="16">
        <f>D5*F5</f>
        <v/>
      </c>
      <c r="H5" s="43" t="inlineStr">
        <is>
          <t>ค้นหา</t>
        </is>
      </c>
    </row>
    <row r="6" ht="18.75" customHeight="1">
      <c r="A6" s="30" t="n"/>
      <c r="B6" s="44" t="inlineStr">
        <is>
          <t>microSD card 32GB</t>
        </is>
      </c>
      <c r="C6" s="45" t="inlineStr">
        <is>
          <t>เก็บ log/ค่ามิเตอร์ · class10</t>
        </is>
      </c>
      <c r="D6" s="46" t="n">
        <v>1</v>
      </c>
      <c r="E6" s="47" t="inlineStr">
        <is>
          <t>ใบ</t>
        </is>
      </c>
      <c r="F6" s="48" t="n">
        <v>130</v>
      </c>
      <c r="G6" s="49">
        <f>D6*F6</f>
        <v/>
      </c>
      <c r="H6" s="50" t="inlineStr">
        <is>
          <t>ค้นหา</t>
        </is>
      </c>
    </row>
    <row r="7" ht="18.75" customHeight="1">
      <c r="A7" s="30" t="n"/>
      <c r="B7" s="39" t="inlineStr">
        <is>
          <t>Custom PCB (ออกแบบเอง)</t>
        </is>
      </c>
      <c r="C7" s="40" t="inlineStr">
        <is>
          <t>รวม STM32+opto32CH+LAN+RS485×2(DINrail)+LCD+PSU · ตู้เดียวคุมทั้งน้ำ+ไฟ · JLCPCB/PCBWay</t>
        </is>
      </c>
      <c r="D7" s="41" t="n">
        <v>1</v>
      </c>
      <c r="E7" s="42" t="inlineStr">
        <is>
          <t>ชุด</t>
        </is>
      </c>
      <c r="F7" s="16" t="n">
        <v>1000</v>
      </c>
      <c r="G7" s="16">
        <f>D7*F7</f>
        <v/>
      </c>
      <c r="H7" s="43" t="inlineStr">
        <is>
          <t>เปิดลิงก์ ✓</t>
        </is>
      </c>
    </row>
    <row r="8" ht="18.75" customHeight="1">
      <c r="A8" s="30" t="n"/>
      <c r="B8" s="44" t="inlineStr">
        <is>
          <t>Optocoupler Isolation 32CH</t>
        </is>
      </c>
      <c r="C8" s="45" t="inlineStr">
        <is>
          <t>input 24V → output 3.3V · 32 ช่อง (= 16CH ×2 ลิงก์เดิม) · อ่านพัลส์มิเตอร์น้ำ</t>
        </is>
      </c>
      <c r="D8" s="46" t="n">
        <v>2</v>
      </c>
      <c r="E8" s="47" t="inlineStr">
        <is>
          <t>บอร์ด</t>
        </is>
      </c>
      <c r="F8" s="48" t="n">
        <v>679.95</v>
      </c>
      <c r="G8" s="49">
        <f>D8*F8</f>
        <v/>
      </c>
      <c r="H8" s="50" t="inlineStr">
        <is>
          <t>เปิดลิงก์ ✓</t>
        </is>
      </c>
    </row>
    <row r="9" ht="18.75" customHeight="1">
      <c r="A9" s="30" t="n"/>
      <c r="B9" s="39" t="inlineStr">
        <is>
          <t>LAN module W5500</t>
        </is>
      </c>
      <c r="C9" s="40" t="inlineStr">
        <is>
          <t>Ethernet SPI (มี TCP ในตัว)</t>
        </is>
      </c>
      <c r="D9" s="41" t="n">
        <v>1</v>
      </c>
      <c r="E9" s="42" t="inlineStr">
        <is>
          <t>ตัว</t>
        </is>
      </c>
      <c r="F9" s="16" t="n">
        <v>120</v>
      </c>
      <c r="G9" s="16">
        <f>D9*F9</f>
        <v/>
      </c>
      <c r="H9" s="43" t="inlineStr">
        <is>
          <t>ค้นหา</t>
        </is>
      </c>
    </row>
    <row r="10" ht="18.75" customHeight="1">
      <c r="A10" s="30" t="n"/>
      <c r="B10" s="44" t="inlineStr">
        <is>
          <t>TTL → RS485 (DIN rail, isolated)</t>
        </is>
      </c>
      <c r="C10" s="45" t="inlineStr">
        <is>
          <t>TTL↔RS485 DIN rail · isolated · 3.3–5V TTL · 1 บัส มิเตอร์ไฟ DDS238 Modbus (ลิงก์ที่เลือก)</t>
        </is>
      </c>
      <c r="D10" s="46" t="n">
        <v>1</v>
      </c>
      <c r="E10" s="47" t="inlineStr">
        <is>
          <t>ตัว</t>
        </is>
      </c>
      <c r="F10" s="48" t="n">
        <v>490</v>
      </c>
      <c r="G10" s="49">
        <f>D10*F10</f>
        <v/>
      </c>
      <c r="H10" s="50" t="inlineStr">
        <is>
          <t>เปิดลิงก์ ✓</t>
        </is>
      </c>
    </row>
    <row r="11" ht="18.75" customHeight="1">
      <c r="A11" s="30" t="n"/>
      <c r="B11" s="44" t="inlineStr">
        <is>
          <t>TTL → RS232 (DIN rail, isolated)</t>
        </is>
      </c>
      <c r="C11" s="45" t="inlineStr">
        <is>
          <t>TTL↔RS232 DIN rail · isolated · 3.3–5V TTL (ลิงก์ AliExpress ~396฿)</t>
        </is>
      </c>
      <c r="D11" s="46" t="n">
        <v>1</v>
      </c>
      <c r="E11" s="47" t="inlineStr">
        <is>
          <t>ตัว</t>
        </is>
      </c>
      <c r="F11" s="48" t="n">
        <v>396.3</v>
      </c>
      <c r="G11" s="49">
        <f>D11*F11</f>
        <v/>
      </c>
      <c r="H11" s="50" t="inlineStr">
        <is>
          <t>เปิดลิงก์ ✓</t>
        </is>
      </c>
    </row>
    <row r="12" ht="18.75" customHeight="1">
      <c r="A12" s="30" t="n"/>
      <c r="B12" s="39" t="inlineStr">
        <is>
          <t>LCD 16×4 + I2C</t>
        </is>
      </c>
      <c r="C12" s="40" t="inlineStr">
        <is>
          <t>จอ 16 คอลัมน์ 4 แถว · I2C</t>
        </is>
      </c>
      <c r="D12" s="41" t="n">
        <v>1</v>
      </c>
      <c r="E12" s="42" t="inlineStr">
        <is>
          <t>ชุด</t>
        </is>
      </c>
      <c r="F12" s="16" t="n">
        <v>130</v>
      </c>
      <c r="G12" s="16">
        <f>D12*F12</f>
        <v/>
      </c>
      <c r="H12" s="43" t="inlineStr">
        <is>
          <t>ค้นหา</t>
        </is>
      </c>
    </row>
    <row r="13" ht="18.75" customHeight="1">
      <c r="A13" s="30" t="n"/>
      <c r="B13" s="44" t="inlineStr">
        <is>
          <t>PSU 24V DIN</t>
        </is>
      </c>
      <c r="C13" s="45" t="inlineStr">
        <is>
          <t>MEAN WELL MDR-60-24 แท้ (Shopee) · เกรดดีกว่าโคลน</t>
        </is>
      </c>
      <c r="D13" s="46" t="n">
        <v>1</v>
      </c>
      <c r="E13" s="47" t="inlineStr">
        <is>
          <t>ตัว</t>
        </is>
      </c>
      <c r="F13" s="48" t="n">
        <v>850</v>
      </c>
      <c r="G13" s="49">
        <f>D13*F13</f>
        <v/>
      </c>
      <c r="H13" s="50" t="inlineStr">
        <is>
          <t>เปิดลิงก์ ✓</t>
        </is>
      </c>
    </row>
    <row r="14" ht="18.75" customHeight="1">
      <c r="A14" s="30" t="n"/>
      <c r="B14" s="39" t="inlineStr">
        <is>
          <t>PSU 5V DIN</t>
        </is>
      </c>
      <c r="C14" s="40" t="inlineStr">
        <is>
          <t>MEAN WELL MDR-20-5 แท้ (Shopee)</t>
        </is>
      </c>
      <c r="D14" s="41" t="n">
        <v>1</v>
      </c>
      <c r="E14" s="42" t="inlineStr">
        <is>
          <t>ตัว</t>
        </is>
      </c>
      <c r="F14" s="16" t="n">
        <v>645</v>
      </c>
      <c r="G14" s="16">
        <f>D14*F14</f>
        <v/>
      </c>
      <c r="H14" s="43" t="inlineStr">
        <is>
          <t>เปิดลิงก์ ✓</t>
        </is>
      </c>
    </row>
    <row r="15" ht="18.75" customHeight="1">
      <c r="A15" s="30" t="n"/>
      <c r="B15" s="39" t="inlineStr">
        <is>
          <t>เทอร์มินอล UK2.5B — แดง</t>
        </is>
      </c>
      <c r="C15" s="40" t="inlineStr">
        <is>
          <t>Din rail feed-through 2.5mm² · สีแดง (ลิงก์ที่เลือก)</t>
        </is>
      </c>
      <c r="D15" s="41" t="n">
        <v>40</v>
      </c>
      <c r="E15" s="42" t="inlineStr">
        <is>
          <t>ตัว</t>
        </is>
      </c>
      <c r="F15" s="48" t="n">
        <v>8</v>
      </c>
      <c r="G15" s="16">
        <f>D15*F15</f>
        <v/>
      </c>
      <c r="H15" s="43" t="inlineStr">
        <is>
          <t>เปิดลิงก์ ✓</t>
        </is>
      </c>
    </row>
    <row r="16" ht="18.75" customHeight="1">
      <c r="A16" s="30" t="n"/>
      <c r="B16" s="39" t="inlineStr">
        <is>
          <t>เทอร์มินอล UK2.5B — ดำ</t>
        </is>
      </c>
      <c r="C16" s="40" t="inlineStr">
        <is>
          <t>Din rail feed-through 2.5mm² · สีดำ</t>
        </is>
      </c>
      <c r="D16" s="41" t="n">
        <v>40</v>
      </c>
      <c r="E16" s="42" t="inlineStr">
        <is>
          <t>ตัว</t>
        </is>
      </c>
      <c r="F16" s="48" t="n">
        <v>8</v>
      </c>
      <c r="G16" s="16">
        <f>D16*F16</f>
        <v/>
      </c>
      <c r="H16" s="43" t="inlineStr">
        <is>
          <t>เปิดลิงก์ ✓</t>
        </is>
      </c>
    </row>
    <row r="17" ht="18.75" customHeight="1">
      <c r="A17" s="30" t="n"/>
      <c r="B17" s="39" t="inlineStr">
        <is>
          <t>เทอร์มินอล UK2.5B — เหลือง</t>
        </is>
      </c>
      <c r="C17" s="40" t="inlineStr">
        <is>
          <t>Din rail feed-through 2.5mm² · สีเหลือง</t>
        </is>
      </c>
      <c r="D17" s="41" t="n">
        <v>40</v>
      </c>
      <c r="E17" s="42" t="inlineStr">
        <is>
          <t>ตัว</t>
        </is>
      </c>
      <c r="F17" s="48" t="n">
        <v>8</v>
      </c>
      <c r="G17" s="16">
        <f>D17*F17</f>
        <v/>
      </c>
      <c r="H17" s="43" t="inlineStr">
        <is>
          <t>เปิดลิงก์ ✓</t>
        </is>
      </c>
    </row>
    <row r="18" ht="18.75" customHeight="1">
      <c r="A18" s="30" t="n"/>
      <c r="B18" s="39" t="inlineStr">
        <is>
          <t>มาร์คเกอร์หมายเลข 1–10</t>
        </is>
      </c>
      <c r="C18" s="40" t="inlineStr">
        <is>
          <t>ป้ายเลขติดเทอร์มินอล UK2.5 · ช่วง 1–10</t>
        </is>
      </c>
      <c r="D18" s="41" t="n">
        <v>2</v>
      </c>
      <c r="E18" s="42" t="inlineStr">
        <is>
          <t>ชุด</t>
        </is>
      </c>
      <c r="F18" s="48" t="n">
        <v>7</v>
      </c>
      <c r="G18" s="16">
        <f>D18*F18</f>
        <v/>
      </c>
      <c r="H18" s="43" t="inlineStr">
        <is>
          <t>เปิดลิงก์ ✓</t>
        </is>
      </c>
    </row>
    <row r="19" ht="18.75" customHeight="1">
      <c r="A19" s="30" t="n"/>
      <c r="B19" s="39" t="inlineStr">
        <is>
          <t>มาร์คเกอร์หมายเลข 11–20</t>
        </is>
      </c>
      <c r="C19" s="40" t="inlineStr">
        <is>
          <t>ป้ายเลขติดเทอร์มินอล UK2.5 · ช่วง 11–20</t>
        </is>
      </c>
      <c r="D19" s="41" t="n">
        <v>2</v>
      </c>
      <c r="E19" s="42" t="inlineStr">
        <is>
          <t>ชุด</t>
        </is>
      </c>
      <c r="F19" s="48" t="n">
        <v>7</v>
      </c>
      <c r="G19" s="16">
        <f>D19*F19</f>
        <v/>
      </c>
      <c r="H19" s="43" t="inlineStr">
        <is>
          <t>เปิดลิงก์ ✓</t>
        </is>
      </c>
    </row>
    <row r="20" ht="18.75" customHeight="1">
      <c r="A20" s="30" t="n"/>
      <c r="B20" s="39" t="inlineStr">
        <is>
          <t>มาร์คเกอร์หมายเลข 21–30</t>
        </is>
      </c>
      <c r="C20" s="40" t="inlineStr">
        <is>
          <t>ป้ายเลขติดเทอร์มินอล UK2.5 · ช่วง 21–30</t>
        </is>
      </c>
      <c r="D20" s="41" t="n">
        <v>2</v>
      </c>
      <c r="E20" s="42" t="inlineStr">
        <is>
          <t>ชุด</t>
        </is>
      </c>
      <c r="F20" s="48" t="n">
        <v>7</v>
      </c>
      <c r="G20" s="16">
        <f>D20*F20</f>
        <v/>
      </c>
      <c r="H20" s="43" t="inlineStr">
        <is>
          <t>เปิดลิงก์ ✓</t>
        </is>
      </c>
    </row>
    <row r="21" ht="18.75" customHeight="1">
      <c r="A21" s="30" t="n"/>
      <c r="B21" s="39" t="inlineStr">
        <is>
          <t>มาร์คเกอร์หมายเลข 31–40</t>
        </is>
      </c>
      <c r="C21" s="40" t="inlineStr">
        <is>
          <t>ป้ายเลขติดเทอร์มินอล UK2.5 · ช่วง 31–40</t>
        </is>
      </c>
      <c r="D21" s="41" t="n">
        <v>2</v>
      </c>
      <c r="E21" s="42" t="inlineStr">
        <is>
          <t>ชุด</t>
        </is>
      </c>
      <c r="F21" s="48" t="n">
        <v>7</v>
      </c>
      <c r="G21" s="16">
        <f>D21*F21</f>
        <v/>
      </c>
      <c r="H21" s="43" t="inlineStr">
        <is>
          <t>เปิดลิงก์ ✓</t>
        </is>
      </c>
    </row>
    <row r="22" ht="18.75" customHeight="1">
      <c r="A22" s="30" t="n"/>
      <c r="B22" s="39" t="inlineStr">
        <is>
          <t>End clamp E/UK (เอ็นแคลมป์)</t>
        </is>
      </c>
      <c r="C22" s="40" t="inlineStr">
        <is>
          <t>ตัวล็อกปลายราง DIN E/UK</t>
        </is>
      </c>
      <c r="D22" s="41" t="n">
        <v>10</v>
      </c>
      <c r="E22" s="42" t="inlineStr">
        <is>
          <t>ตัว</t>
        </is>
      </c>
      <c r="F22" s="48" t="n">
        <v>7</v>
      </c>
      <c r="G22" s="16">
        <f>D22*F22</f>
        <v/>
      </c>
      <c r="H22" s="43" t="inlineStr">
        <is>
          <t>เปิดลิงก์ ✓</t>
        </is>
      </c>
    </row>
    <row r="23" ht="18.75" customHeight="1">
      <c r="A23" s="30" t="n"/>
      <c r="B23" s="39" t="inlineStr">
        <is>
          <t>สะพานสาย EB10-6</t>
        </is>
      </c>
      <c r="C23" s="40" t="inlineStr">
        <is>
          <t>จัมเปอร์บริดจ์เชื่อมขั้วเทอร์มินอล · EB10-6</t>
        </is>
      </c>
      <c r="D23" s="41" t="n">
        <v>20</v>
      </c>
      <c r="E23" s="42" t="inlineStr">
        <is>
          <t>ชุด</t>
        </is>
      </c>
      <c r="F23" s="48" t="n">
        <v>30</v>
      </c>
      <c r="G23" s="16">
        <f>D23*F23</f>
        <v/>
      </c>
      <c r="H23" s="43" t="inlineStr">
        <is>
          <t>เปิดลิงก์ ✓</t>
        </is>
      </c>
    </row>
    <row r="24" ht="27" customHeight="1">
      <c r="A24" s="30" t="n"/>
      <c r="B24" s="39" t="inlineStr">
        <is>
          <t>เทอร์มินอล PCB KF301-5.0 2P</t>
        </is>
      </c>
      <c r="C24" s="40" t="inlineStr">
        <is>
          <t>ขั้วสกรูขึ้นบอร์ด (PCB) · 5.0mm · 2P · ต่อเชื่อมได้ · 50 ตัว/ชุด (ลิงก์ที่เลือก)</t>
        </is>
      </c>
      <c r="D24" s="41" t="n">
        <v>2</v>
      </c>
      <c r="E24" s="42" t="inlineStr">
        <is>
          <t>ชุด</t>
        </is>
      </c>
      <c r="F24" s="48" t="n">
        <v>69</v>
      </c>
      <c r="G24" s="16">
        <f>D24*F24</f>
        <v/>
      </c>
      <c r="H24" s="43" t="inlineStr">
        <is>
          <t>เปิดลิงก์ ✓</t>
        </is>
      </c>
    </row>
    <row r="25" ht="27" customHeight="1">
      <c r="A25" s="30" t="n"/>
      <c r="B25" s="39" t="inlineStr">
        <is>
          <t>สายมัลติคอร์ SJK 0.3mm² 3C</t>
        </is>
      </c>
      <c r="C25" s="40" t="inlineStr">
        <is>
          <t>SJK Multicore 0.3sq · 3 แกน · No Shield · เทา · 100 ม./ม้วน · ราคาจริง Shopee 1,868฿</t>
        </is>
      </c>
      <c r="D25" s="41" t="n">
        <v>1</v>
      </c>
      <c r="E25" s="42" t="inlineStr">
        <is>
          <t>ม้วน</t>
        </is>
      </c>
      <c r="F25" s="48" t="n">
        <v>1868</v>
      </c>
      <c r="G25" s="16">
        <f>D25*F25</f>
        <v/>
      </c>
      <c r="H25" s="43" t="inlineStr">
        <is>
          <t>เปิดลิงก์ ✓</t>
        </is>
      </c>
    </row>
    <row r="26" ht="27" customHeight="1">
      <c r="A26" s="30" t="n"/>
      <c r="B26" s="39" t="inlineStr">
        <is>
          <t>เคเบิ้ลแกลน Nylon M12 ×1.5</t>
        </is>
      </c>
      <c r="C26" s="40" t="inlineStr">
        <is>
          <t>Nylon Cable Gland กันฝุ่น/น้ำ · เกลียว M12 (ราคาจริง 35฿ · ลิงก์เดิม)</t>
        </is>
      </c>
      <c r="D26" s="41" t="n">
        <v>40</v>
      </c>
      <c r="E26" s="42" t="inlineStr">
        <is>
          <t>ชิ้น</t>
        </is>
      </c>
      <c r="F26" s="48" t="n">
        <v>35</v>
      </c>
      <c r="G26" s="16">
        <f>D26*F26</f>
        <v/>
      </c>
      <c r="H26" s="43" t="inlineStr">
        <is>
          <t>เปิดลิงก์ ✓</t>
        </is>
      </c>
    </row>
    <row r="27" ht="18.75" customHeight="1">
      <c r="A27" s="30" t="n"/>
      <c r="B27" s="39" t="inlineStr">
        <is>
          <t>เคเบิ้ลแกลน Nylon M20 ×1.5</t>
        </is>
      </c>
      <c r="C27" s="40" t="inlineStr">
        <is>
          <t>Nylon Cable Gland · เกลียว M20 (ราคาจริง 35฿ · ลิงก์เดิม)</t>
        </is>
      </c>
      <c r="D27" s="41" t="n">
        <v>4</v>
      </c>
      <c r="E27" s="42" t="inlineStr">
        <is>
          <t>ชิ้น</t>
        </is>
      </c>
      <c r="F27" s="48" t="n">
        <v>35</v>
      </c>
      <c r="G27" s="16">
        <f>D27*F27</f>
        <v/>
      </c>
      <c r="H27" s="43" t="inlineStr">
        <is>
          <t>เปิดลิงก์ ✓</t>
        </is>
      </c>
    </row>
    <row r="28" ht="28.5" customHeight="1">
      <c r="A28" s="30" t="n"/>
      <c r="B28" s="39" t="inlineStr">
        <is>
          <t>ตู้ enclosure GLINK GCB-04 (เบอร์ 4 Indoor)</t>
        </is>
      </c>
      <c r="C28" s="40" t="inlineStr">
        <is>
          <t>ตู้สวิตช์บอร์ด Indoor · เหล็ก 0.8mm · มีช่องระบายอากาศ · GLINK GCB-04 (ราคาจริง)</t>
        </is>
      </c>
      <c r="D28" s="41" t="n">
        <v>1</v>
      </c>
      <c r="E28" s="42" t="inlineStr">
        <is>
          <t>ตู้</t>
        </is>
      </c>
      <c r="F28" s="48" t="n">
        <v>750</v>
      </c>
      <c r="G28" s="16">
        <f>D28*F28</f>
        <v/>
      </c>
      <c r="H28" s="43" t="inlineStr">
        <is>
          <t>เปิดลิงก์ ✓</t>
        </is>
      </c>
    </row>
    <row r="29" ht="27" customHeight="1">
      <c r="A29" s="30" t="n"/>
      <c r="B29" s="39" t="inlineStr">
        <is>
          <t>ราวปีกนก (DIN rail) ยาว 30cm</t>
        </is>
      </c>
      <c r="C29" s="40" t="inlineStr">
        <is>
          <t>รางปีกนก/DIN rail 35mm ยึดเทอร์มินอล/อุปกรณ์ · ยาว 30cm (ลิงก์ที่เลือก)</t>
        </is>
      </c>
      <c r="D29" s="41" t="n">
        <v>4</v>
      </c>
      <c r="E29" s="42" t="inlineStr">
        <is>
          <t>ชุด</t>
        </is>
      </c>
      <c r="F29" s="48" t="n">
        <v>30</v>
      </c>
      <c r="G29" s="16">
        <f>D29*F29</f>
        <v/>
      </c>
      <c r="H29" s="43" t="inlineStr">
        <is>
          <t>เปิดลิงก์ ✓</t>
        </is>
      </c>
    </row>
    <row r="30" ht="18.75" customHeight="1">
      <c r="A30" s="30" t="n"/>
      <c r="B30" s="39" t="inlineStr">
        <is>
          <t>สกรูปลายสว่าน (self-drilling)</t>
        </is>
      </c>
      <c r="C30" s="40" t="inlineStr">
        <is>
          <t>สกรูเจาะเหล็กปลายสว่าน · แพ็ค 4 ชิ้น/ชุด</t>
        </is>
      </c>
      <c r="D30" s="41" t="n">
        <v>4</v>
      </c>
      <c r="E30" s="42" t="inlineStr">
        <is>
          <t>ชุด</t>
        </is>
      </c>
      <c r="F30" s="48" t="n">
        <v>10</v>
      </c>
      <c r="G30" s="16">
        <f>D30*F30</f>
        <v/>
      </c>
      <c r="H30" s="43" t="inlineStr">
        <is>
          <t>เปิดลิงก์ ✓</t>
        </is>
      </c>
    </row>
    <row r="31" ht="27" customHeight="1">
      <c r="A31" s="30" t="n"/>
      <c r="B31" s="39" t="inlineStr">
        <is>
          <t>สายไฟ AWG22 — ดำ</t>
        </is>
      </c>
      <c r="C31" s="40" t="inlineStr">
        <is>
          <t>สายฮุคอัพ single core AWG22 · สีดำ · 5ม./ม้วน · ราคาจริง 77฿</t>
        </is>
      </c>
      <c r="D31" s="41" t="n">
        <v>1</v>
      </c>
      <c r="E31" s="42" t="inlineStr">
        <is>
          <t>ม้วน</t>
        </is>
      </c>
      <c r="F31" s="48" t="n">
        <v>77</v>
      </c>
      <c r="G31" s="16">
        <f>D31*F31</f>
        <v/>
      </c>
      <c r="H31" s="43" t="inlineStr">
        <is>
          <t>เปิดลิงก์ ✓</t>
        </is>
      </c>
    </row>
    <row r="32" ht="27" customHeight="1">
      <c r="A32" s="30" t="n"/>
      <c r="B32" s="39" t="inlineStr">
        <is>
          <t>สายไฟ AWG22 — แดง</t>
        </is>
      </c>
      <c r="C32" s="40" t="inlineStr">
        <is>
          <t>สายฮุคอัพ single core AWG22 · สีแดง · 5ม./ม้วน · ราคาจริง 77฿</t>
        </is>
      </c>
      <c r="D32" s="41" t="n">
        <v>1</v>
      </c>
      <c r="E32" s="42" t="inlineStr">
        <is>
          <t>ม้วน</t>
        </is>
      </c>
      <c r="F32" s="48" t="n">
        <v>77</v>
      </c>
      <c r="G32" s="16">
        <f>D32*F32</f>
        <v/>
      </c>
      <c r="H32" s="43" t="inlineStr">
        <is>
          <t>เปิดลิงก์ ✓</t>
        </is>
      </c>
    </row>
    <row r="33" ht="27" customHeight="1">
      <c r="A33" s="30" t="n"/>
      <c r="B33" s="39" t="inlineStr">
        <is>
          <t>สายไฟ AWG22 — เหลือง</t>
        </is>
      </c>
      <c r="C33" s="40" t="inlineStr">
        <is>
          <t>สายฮุคอัพ single core AWG22 · สีเหลือง · 5ม./ม้วน · ราคาจริง 77฿</t>
        </is>
      </c>
      <c r="D33" s="41" t="n">
        <v>1</v>
      </c>
      <c r="E33" s="42" t="inlineStr">
        <is>
          <t>ม้วน</t>
        </is>
      </c>
      <c r="F33" s="48" t="n">
        <v>77</v>
      </c>
      <c r="G33" s="16">
        <f>D33*F33</f>
        <v/>
      </c>
      <c r="H33" s="43" t="inlineStr">
        <is>
          <t>เปิดลิงก์ ✓</t>
        </is>
      </c>
    </row>
    <row r="34" ht="27" customHeight="1">
      <c r="A34" s="30" t="n"/>
      <c r="B34" s="39" t="inlineStr">
        <is>
          <t>สายไฟ AWG22 — เขียว</t>
        </is>
      </c>
      <c r="C34" s="40" t="inlineStr">
        <is>
          <t>สายฮุคอัพ single core AWG22 · สีเขียว · 5ม./ม้วน · ราคาจริง 77฿</t>
        </is>
      </c>
      <c r="D34" s="41" t="n">
        <v>1</v>
      </c>
      <c r="E34" s="42" t="inlineStr">
        <is>
          <t>ม้วน</t>
        </is>
      </c>
      <c r="F34" s="48" t="n">
        <v>77</v>
      </c>
      <c r="G34" s="16">
        <f>D34*F34</f>
        <v/>
      </c>
      <c r="H34" s="43" t="inlineStr">
        <is>
          <t>เปิดลิงก์ ✓</t>
        </is>
      </c>
    </row>
    <row r="35" ht="20.25" customHeight="1">
      <c r="B35" s="39" t="inlineStr">
        <is>
          <t>LAN ต่อระหว่างตู้ (Ethernet)</t>
        </is>
      </c>
      <c r="C35" s="40" t="inlineStr">
        <is>
          <t>อุปกรณ์ LAN สำหรับเชื่อมระหว่างตู้ (ลิงก์ AliExpress · รอยืนยันชื่อ/ราคา)</t>
        </is>
      </c>
      <c r="D35" s="41" t="n">
        <v>1</v>
      </c>
      <c r="E35" s="42" t="inlineStr">
        <is>
          <t>ตัว</t>
        </is>
      </c>
      <c r="F35" s="56" t="n">
        <v>100</v>
      </c>
      <c r="G35" s="16">
        <f>D35*F35</f>
        <v/>
      </c>
      <c r="H35" s="43" t="inlineStr">
        <is>
          <t>เปิดลิงก์ ✓</t>
        </is>
      </c>
    </row>
    <row r="36" ht="18.75" customHeight="1">
      <c r="A36" s="30" t="n"/>
      <c r="B36" s="51" t="inlineStr">
        <is>
          <t>รวมตู้รวม (อุปกรณ์)</t>
        </is>
      </c>
      <c r="C36" s="51" t="n"/>
      <c r="D36" s="52" t="n"/>
      <c r="E36" s="51" t="n"/>
      <c r="F36" s="53" t="n"/>
      <c r="G36" s="54">
        <f>SUM(G5:G35)</f>
        <v/>
      </c>
      <c r="H36" s="51" t="n"/>
    </row>
    <row r="37" ht="18.75" customHeight="1">
      <c r="A37" s="30" t="n"/>
      <c r="B37" s="30" t="n"/>
      <c r="C37" s="30" t="n"/>
      <c r="D37" s="32" t="n"/>
      <c r="E37" s="30" t="n"/>
      <c r="F37" s="55" t="n"/>
      <c r="G37" s="30" t="n"/>
      <c r="H37" s="30" t="n"/>
    </row>
    <row r="38" ht="18.75" customHeight="1">
      <c r="A38" s="30" t="n"/>
      <c r="B38" s="4" t="inlineStr">
        <is>
          <t>ตู้เดียวคุมน้ำ+ไฟ · opto 32CH (16CH×2) อ่านพัลส์น้ำ 16–32 ตัว · RS485 ×2 บัสสำหรับมิเตอร์ไฟ DDS238 · Sensor แยกหน้า 'รวมทั้งหมด' · STM32 reg 3.3V ในตัว</t>
        </is>
      </c>
      <c r="C38" s="30" t="n"/>
      <c r="D38" s="32" t="n"/>
      <c r="E38" s="30" t="n"/>
      <c r="F38" s="55" t="n"/>
      <c r="G38" s="30" t="n"/>
      <c r="H38" s="30" t="n"/>
    </row>
    <row r="39" ht="18.75" customHeight="1">
      <c r="A39" s="30" t="n"/>
      <c r="B39" s="30" t="n"/>
      <c r="C39" s="30" t="n"/>
      <c r="D39" s="32" t="n"/>
      <c r="E39" s="30" t="n"/>
      <c r="F39" s="55" t="n"/>
      <c r="G39" s="30" t="n"/>
      <c r="H39" s="30" t="n"/>
    </row>
    <row r="40" ht="18.75" customHeight="1">
      <c r="A40" s="30" t="n"/>
      <c r="B40" s="30" t="n"/>
      <c r="C40" s="30" t="n"/>
      <c r="D40" s="32" t="n"/>
      <c r="E40" s="30" t="n"/>
      <c r="F40" s="55" t="n"/>
      <c r="G40" s="30" t="n"/>
      <c r="H40" s="30" t="n"/>
    </row>
    <row r="41" ht="18.75" customHeight="1">
      <c r="A41" s="30" t="n"/>
      <c r="B41" s="30" t="n"/>
      <c r="C41" s="30" t="n"/>
      <c r="D41" s="32" t="n"/>
      <c r="E41" s="30" t="n"/>
      <c r="F41" s="55" t="n"/>
      <c r="G41" s="30" t="n"/>
      <c r="H41" s="30" t="n"/>
    </row>
    <row r="42" ht="18.75" customHeight="1">
      <c r="A42" s="30" t="n"/>
      <c r="B42" s="30" t="n"/>
      <c r="C42" s="30" t="n"/>
      <c r="D42" s="32" t="n"/>
      <c r="E42" s="30" t="n"/>
      <c r="F42" s="55" t="n"/>
      <c r="G42" s="30" t="n"/>
      <c r="H42" s="30" t="n"/>
    </row>
    <row r="43" ht="18.75" customHeight="1">
      <c r="A43" s="30" t="n"/>
      <c r="B43" s="30" t="n"/>
      <c r="C43" s="30" t="n"/>
      <c r="D43" s="32" t="n"/>
      <c r="E43" s="30" t="n"/>
      <c r="F43" s="55" t="n"/>
      <c r="G43" s="30" t="n"/>
      <c r="H43" s="30" t="n"/>
    </row>
    <row r="44" ht="18.75" customHeight="1">
      <c r="A44" s="30" t="n"/>
      <c r="B44" s="30" t="n"/>
      <c r="C44" s="30" t="n"/>
      <c r="D44" s="32" t="n"/>
      <c r="E44" s="30" t="n"/>
      <c r="F44" s="55" t="n"/>
      <c r="G44" s="30" t="n"/>
      <c r="H44" s="30" t="n"/>
    </row>
    <row r="45" ht="18.75" customHeight="1">
      <c r="A45" s="30" t="n"/>
      <c r="B45" s="30" t="n"/>
      <c r="C45" s="30" t="n"/>
      <c r="D45" s="32" t="n"/>
      <c r="E45" s="30" t="n"/>
      <c r="F45" s="55" t="n"/>
      <c r="G45" s="30" t="n"/>
      <c r="H45" s="30" t="n"/>
    </row>
    <row r="46" ht="18.75" customHeight="1">
      <c r="A46" s="30" t="n"/>
      <c r="B46" s="30" t="n"/>
      <c r="C46" s="30" t="n"/>
      <c r="D46" s="32" t="n"/>
      <c r="E46" s="30" t="n"/>
      <c r="F46" s="55" t="n"/>
      <c r="G46" s="30" t="n"/>
      <c r="H46" s="30" t="n"/>
    </row>
    <row r="47" ht="18.75" customHeight="1">
      <c r="A47" s="30" t="n"/>
      <c r="B47" s="30" t="n"/>
      <c r="C47" s="30" t="n"/>
      <c r="D47" s="32" t="n"/>
      <c r="E47" s="30" t="n"/>
      <c r="F47" s="55" t="n"/>
      <c r="G47" s="30" t="n"/>
      <c r="H47" s="30" t="n"/>
    </row>
    <row r="48" ht="18.75" customHeight="1">
      <c r="A48" s="30" t="n"/>
      <c r="B48" s="30" t="n"/>
      <c r="C48" s="30" t="n"/>
      <c r="D48" s="32" t="n"/>
      <c r="E48" s="30" t="n"/>
      <c r="F48" s="55" t="n"/>
      <c r="G48" s="30" t="n"/>
      <c r="H48" s="30" t="n"/>
    </row>
    <row r="49" ht="18.75" customHeight="1">
      <c r="A49" s="30" t="n"/>
      <c r="B49" s="30" t="n"/>
      <c r="C49" s="30" t="n"/>
      <c r="D49" s="32" t="n"/>
      <c r="E49" s="30" t="n"/>
      <c r="F49" s="55" t="n"/>
      <c r="G49" s="30" t="n"/>
      <c r="H49" s="30" t="n"/>
    </row>
    <row r="50" ht="18.75" customHeight="1">
      <c r="A50" s="30" t="n"/>
      <c r="B50" s="30" t="n"/>
      <c r="C50" s="30" t="n"/>
      <c r="D50" s="32" t="n"/>
      <c r="E50" s="30" t="n"/>
      <c r="F50" s="55" t="n"/>
      <c r="G50" s="30" t="n"/>
      <c r="H50" s="30" t="n"/>
    </row>
    <row r="51" ht="18.75" customHeight="1">
      <c r="A51" s="30" t="n"/>
      <c r="B51" s="30" t="n"/>
      <c r="C51" s="30" t="n"/>
      <c r="D51" s="32" t="n"/>
      <c r="E51" s="30" t="n"/>
      <c r="F51" s="55" t="n"/>
      <c r="G51" s="30" t="n"/>
      <c r="H51" s="30" t="n"/>
    </row>
    <row r="52" ht="18.75" customHeight="1">
      <c r="A52" s="30" t="n"/>
      <c r="B52" s="30" t="n"/>
      <c r="C52" s="30" t="n"/>
      <c r="D52" s="32" t="n"/>
      <c r="E52" s="30" t="n"/>
      <c r="F52" s="55" t="n"/>
      <c r="G52" s="30" t="n"/>
      <c r="H52" s="30" t="n"/>
    </row>
    <row r="53" ht="18.75" customHeight="1">
      <c r="A53" s="30" t="n"/>
      <c r="B53" s="30" t="n"/>
      <c r="C53" s="30" t="n"/>
      <c r="D53" s="32" t="n"/>
      <c r="E53" s="30" t="n"/>
      <c r="F53" s="55" t="n"/>
      <c r="G53" s="30" t="n"/>
      <c r="H53" s="30" t="n"/>
    </row>
    <row r="54" ht="18.75" customHeight="1">
      <c r="A54" s="30" t="n"/>
      <c r="B54" s="30" t="n"/>
      <c r="C54" s="30" t="n"/>
      <c r="D54" s="32" t="n"/>
      <c r="E54" s="30" t="n"/>
      <c r="F54" s="55" t="n"/>
      <c r="G54" s="30" t="n"/>
      <c r="H54" s="30" t="n"/>
    </row>
    <row r="55" ht="18.75" customHeight="1">
      <c r="A55" s="30" t="n"/>
      <c r="B55" s="30" t="n"/>
      <c r="C55" s="30" t="n"/>
      <c r="D55" s="32" t="n"/>
      <c r="E55" s="30" t="n"/>
      <c r="F55" s="55" t="n"/>
      <c r="G55" s="30" t="n"/>
      <c r="H55" s="30" t="n"/>
    </row>
    <row r="56" ht="18.75" customHeight="1">
      <c r="A56" s="30" t="n"/>
      <c r="B56" s="30" t="n"/>
      <c r="C56" s="30" t="n"/>
      <c r="D56" s="32" t="n"/>
      <c r="E56" s="30" t="n"/>
      <c r="F56" s="55" t="n"/>
      <c r="G56" s="30" t="n"/>
      <c r="H56" s="30" t="n"/>
    </row>
    <row r="57" ht="18.75" customHeight="1">
      <c r="A57" s="30" t="n"/>
      <c r="B57" s="30" t="n"/>
      <c r="C57" s="30" t="n"/>
      <c r="D57" s="32" t="n"/>
      <c r="E57" s="30" t="n"/>
      <c r="F57" s="55" t="n"/>
      <c r="G57" s="30" t="n"/>
      <c r="H57" s="30" t="n"/>
    </row>
    <row r="58" ht="18.75" customHeight="1">
      <c r="A58" s="30" t="n"/>
      <c r="B58" s="30" t="n"/>
      <c r="C58" s="30" t="n"/>
      <c r="D58" s="32" t="n"/>
      <c r="E58" s="30" t="n"/>
      <c r="F58" s="55" t="n"/>
      <c r="G58" s="30" t="n"/>
      <c r="H58" s="30" t="n"/>
    </row>
    <row r="59" ht="18.75" customHeight="1">
      <c r="A59" s="30" t="n"/>
      <c r="B59" s="30" t="n"/>
      <c r="C59" s="30" t="n"/>
      <c r="D59" s="32" t="n"/>
      <c r="E59" s="30" t="n"/>
      <c r="F59" s="55" t="n"/>
      <c r="G59" s="30" t="n"/>
      <c r="H59" s="30" t="n"/>
    </row>
    <row r="60" ht="18.75" customHeight="1">
      <c r="A60" s="30" t="n"/>
      <c r="B60" s="30" t="n"/>
      <c r="C60" s="30" t="n"/>
      <c r="D60" s="32" t="n"/>
      <c r="E60" s="30" t="n"/>
      <c r="F60" s="55" t="n"/>
      <c r="G60" s="30" t="n"/>
      <c r="H60" s="30" t="n"/>
    </row>
    <row r="61" ht="18.75" customHeight="1">
      <c r="A61" s="30" t="n"/>
      <c r="B61" s="30" t="n"/>
      <c r="C61" s="30" t="n"/>
      <c r="D61" s="32" t="n"/>
      <c r="E61" s="30" t="n"/>
      <c r="F61" s="55" t="n"/>
      <c r="G61" s="30" t="n"/>
      <c r="H61" s="30" t="n"/>
    </row>
    <row r="62" ht="18.75" customHeight="1">
      <c r="A62" s="30" t="n"/>
      <c r="B62" s="30" t="n"/>
      <c r="C62" s="30" t="n"/>
      <c r="D62" s="32" t="n"/>
      <c r="E62" s="30" t="n"/>
      <c r="F62" s="55" t="n"/>
      <c r="G62" s="30" t="n"/>
      <c r="H62" s="30" t="n"/>
    </row>
    <row r="63" ht="18.75" customHeight="1">
      <c r="A63" s="30" t="n"/>
      <c r="B63" s="30" t="n"/>
      <c r="C63" s="30" t="n"/>
      <c r="D63" s="32" t="n"/>
      <c r="E63" s="30" t="n"/>
      <c r="F63" s="55" t="n"/>
      <c r="G63" s="30" t="n"/>
      <c r="H63" s="30" t="n"/>
    </row>
    <row r="64" ht="18.75" customHeight="1">
      <c r="A64" s="30" t="n"/>
      <c r="B64" s="30" t="n"/>
      <c r="C64" s="30" t="n"/>
      <c r="D64" s="32" t="n"/>
      <c r="E64" s="30" t="n"/>
      <c r="F64" s="55" t="n"/>
      <c r="G64" s="30" t="n"/>
      <c r="H64" s="30" t="n"/>
    </row>
    <row r="65" ht="18.75" customHeight="1">
      <c r="A65" s="30" t="n"/>
      <c r="B65" s="30" t="n"/>
      <c r="C65" s="30" t="n"/>
      <c r="D65" s="32" t="n"/>
      <c r="E65" s="30" t="n"/>
      <c r="F65" s="55" t="n"/>
      <c r="G65" s="30" t="n"/>
      <c r="H65" s="30" t="n"/>
    </row>
    <row r="66" ht="18.75" customHeight="1">
      <c r="A66" s="30" t="n"/>
      <c r="B66" s="30" t="n"/>
      <c r="C66" s="30" t="n"/>
      <c r="D66" s="32" t="n"/>
      <c r="E66" s="30" t="n"/>
      <c r="F66" s="55" t="n"/>
      <c r="G66" s="30" t="n"/>
      <c r="H66" s="30" t="n"/>
    </row>
    <row r="67" ht="18.75" customHeight="1">
      <c r="A67" s="30" t="n"/>
      <c r="B67" s="30" t="n"/>
      <c r="C67" s="30" t="n"/>
      <c r="D67" s="32" t="n"/>
      <c r="E67" s="30" t="n"/>
      <c r="F67" s="55" t="n"/>
      <c r="G67" s="30" t="n"/>
      <c r="H67" s="30" t="n"/>
    </row>
    <row r="68" ht="18.75" customHeight="1">
      <c r="A68" s="30" t="n"/>
      <c r="B68" s="30" t="n"/>
      <c r="C68" s="30" t="n"/>
      <c r="D68" s="32" t="n"/>
      <c r="E68" s="30" t="n"/>
      <c r="F68" s="55" t="n"/>
      <c r="G68" s="30" t="n"/>
      <c r="H68" s="30" t="n"/>
    </row>
    <row r="69" ht="18.75" customHeight="1">
      <c r="A69" s="30" t="n"/>
      <c r="B69" s="30" t="n"/>
      <c r="C69" s="30" t="n"/>
      <c r="D69" s="32" t="n"/>
      <c r="E69" s="30" t="n"/>
      <c r="F69" s="55" t="n"/>
      <c r="G69" s="30" t="n"/>
      <c r="H69" s="30" t="n"/>
    </row>
    <row r="70" ht="18.75" customHeight="1">
      <c r="A70" s="30" t="n"/>
      <c r="B70" s="30" t="n"/>
      <c r="C70" s="30" t="n"/>
      <c r="D70" s="32" t="n"/>
      <c r="E70" s="30" t="n"/>
      <c r="F70" s="55" t="n"/>
      <c r="G70" s="30" t="n"/>
      <c r="H70" s="30" t="n"/>
    </row>
    <row r="71" ht="18.75" customHeight="1">
      <c r="A71" s="30" t="n"/>
      <c r="B71" s="30" t="n"/>
      <c r="C71" s="30" t="n"/>
      <c r="D71" s="32" t="n"/>
      <c r="E71" s="30" t="n"/>
      <c r="F71" s="55" t="n"/>
      <c r="G71" s="30" t="n"/>
      <c r="H71" s="30" t="n"/>
    </row>
    <row r="72" ht="18.75" customHeight="1">
      <c r="A72" s="30" t="n"/>
      <c r="B72" s="30" t="n"/>
      <c r="C72" s="30" t="n"/>
      <c r="D72" s="32" t="n"/>
      <c r="E72" s="30" t="n"/>
      <c r="F72" s="55" t="n"/>
      <c r="G72" s="30" t="n"/>
      <c r="H72" s="30" t="n"/>
    </row>
    <row r="73" ht="18.75" customHeight="1">
      <c r="A73" s="30" t="n"/>
      <c r="B73" s="30" t="n"/>
      <c r="C73" s="30" t="n"/>
      <c r="D73" s="32" t="n"/>
      <c r="E73" s="30" t="n"/>
      <c r="F73" s="55" t="n"/>
      <c r="G73" s="30" t="n"/>
      <c r="H73" s="30" t="n"/>
    </row>
    <row r="74" ht="18.75" customHeight="1">
      <c r="A74" s="30" t="n"/>
      <c r="B74" s="30" t="n"/>
      <c r="C74" s="30" t="n"/>
      <c r="D74" s="32" t="n"/>
      <c r="E74" s="30" t="n"/>
      <c r="F74" s="55" t="n"/>
      <c r="G74" s="30" t="n"/>
      <c r="H74" s="30" t="n"/>
    </row>
    <row r="75" ht="18.75" customHeight="1">
      <c r="A75" s="30" t="n"/>
      <c r="B75" s="30" t="n"/>
      <c r="C75" s="30" t="n"/>
      <c r="D75" s="32" t="n"/>
      <c r="E75" s="30" t="n"/>
      <c r="F75" s="55" t="n"/>
      <c r="G75" s="30" t="n"/>
      <c r="H75" s="30" t="n"/>
    </row>
    <row r="76" ht="18.75" customHeight="1">
      <c r="A76" s="30" t="n"/>
      <c r="B76" s="30" t="n"/>
      <c r="C76" s="30" t="n"/>
      <c r="D76" s="32" t="n"/>
      <c r="E76" s="30" t="n"/>
      <c r="F76" s="55" t="n"/>
      <c r="G76" s="30" t="n"/>
      <c r="H76" s="30" t="n"/>
    </row>
    <row r="77" ht="18.75" customHeight="1">
      <c r="A77" s="30" t="n"/>
      <c r="B77" s="30" t="n"/>
      <c r="C77" s="30" t="n"/>
      <c r="D77" s="32" t="n"/>
      <c r="E77" s="30" t="n"/>
      <c r="F77" s="55" t="n"/>
      <c r="G77" s="30" t="n"/>
      <c r="H77" s="30" t="n"/>
    </row>
    <row r="78" ht="18.75" customHeight="1">
      <c r="A78" s="30" t="n"/>
      <c r="B78" s="30" t="n"/>
      <c r="C78" s="30" t="n"/>
      <c r="D78" s="32" t="n"/>
      <c r="E78" s="30" t="n"/>
      <c r="F78" s="55" t="n"/>
      <c r="G78" s="30" t="n"/>
      <c r="H78" s="30" t="n"/>
    </row>
    <row r="79" ht="18.75" customHeight="1">
      <c r="A79" s="30" t="n"/>
      <c r="B79" s="30" t="n"/>
      <c r="C79" s="30" t="n"/>
      <c r="D79" s="32" t="n"/>
      <c r="E79" s="30" t="n"/>
      <c r="F79" s="55" t="n"/>
      <c r="G79" s="30" t="n"/>
      <c r="H79" s="30" t="n"/>
    </row>
    <row r="80">
      <c r="A80" s="30" t="n"/>
      <c r="B80" s="30" t="n"/>
      <c r="C80" s="30" t="n"/>
      <c r="D80" s="32" t="n"/>
      <c r="E80" s="30" t="n"/>
      <c r="F80" s="55" t="n"/>
      <c r="G80" s="30" t="n"/>
      <c r="H80" s="30" t="n"/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14"/>
  <sheetViews>
    <sheetView workbookViewId="0">
      <selection activeCell="A1" sqref="A1"/>
    </sheetView>
  </sheetViews>
  <sheetFormatPr baseColWidth="8" defaultRowHeight="15"/>
  <cols>
    <col width="3.005" bestFit="1" customWidth="1" style="30" min="1" max="1"/>
    <col width="32.005" bestFit="1" customWidth="1" style="31" min="2" max="2"/>
    <col width="8.005000000000001" bestFit="1" customWidth="1" style="32" min="3" max="3"/>
    <col width="14.005" bestFit="1" customWidth="1" style="32" min="4" max="4"/>
    <col width="15.005" bestFit="1" customWidth="1" style="30" min="5" max="5"/>
    <col width="18.005" bestFit="1" customWidth="1" style="30" min="6" max="6"/>
  </cols>
  <sheetData>
    <row r="1" ht="18.75" customHeight="1">
      <c r="A1" s="30" t="n"/>
      <c r="B1" s="2" t="inlineStr">
        <is>
          <t>สรุปราคารวม — ตู้รวม (น้ำ+ไฟ) + Sensor น้ำ</t>
        </is>
      </c>
      <c r="C1" s="32" t="n"/>
      <c r="D1" s="32" t="n"/>
      <c r="E1" s="30" t="n"/>
      <c r="F1" s="30" t="n"/>
    </row>
    <row r="2" ht="18.75" customHeight="1">
      <c r="A2" s="30" t="n"/>
      <c r="B2" s="4" t="inlineStr">
        <is>
          <t>ยอดดึงจากหน้า 'ตู้รวม' อัตโนมัติ · แก้ราคา sensor ช่องเหลือง · ไม่รวมส่ง/VAT/enclosure</t>
        </is>
      </c>
      <c r="C2" s="32" t="n"/>
      <c r="D2" s="32" t="n"/>
      <c r="E2" s="30" t="n"/>
      <c r="F2" s="30" t="n"/>
    </row>
    <row r="3" ht="18.75" customHeight="1">
      <c r="A3" s="30" t="n"/>
      <c r="B3" s="31" t="n"/>
      <c r="C3" s="32" t="n"/>
      <c r="D3" s="32" t="n"/>
      <c r="E3" s="30" t="n"/>
      <c r="F3" s="30" t="n"/>
    </row>
    <row r="4" ht="18.75" customHeight="1">
      <c r="A4" s="30" t="n"/>
      <c r="B4" s="6" t="inlineStr">
        <is>
          <t>รายการ</t>
        </is>
      </c>
      <c r="C4" s="7" t="inlineStr">
        <is>
          <t>จำนวน</t>
        </is>
      </c>
      <c r="D4" s="7" t="inlineStr">
        <is>
          <t>ราคา/หน่วย (฿)</t>
        </is>
      </c>
      <c r="E4" s="6" t="inlineStr">
        <is>
          <t>รวม (฿)</t>
        </is>
      </c>
      <c r="F4" s="6" t="inlineStr">
        <is>
          <t>ลิงก์/หมายเหตุ</t>
        </is>
      </c>
    </row>
    <row r="5" ht="18.75" customHeight="1">
      <c r="A5" s="30" t="n"/>
      <c r="B5" s="8" t="inlineStr">
        <is>
          <t>ตู้รวม (อุปกรณ์)</t>
        </is>
      </c>
      <c r="C5" s="9" t="inlineStr">
        <is>
          <t>1 ตู้</t>
        </is>
      </c>
      <c r="D5" s="10" t="inlineStr">
        <is>
          <t>-</t>
        </is>
      </c>
      <c r="E5" s="11">
        <f>'ตู้รวม'!G36</f>
        <v/>
      </c>
      <c r="F5" s="12" t="inlineStr">
        <is>
          <t>หน้า 'ตู้รวม'</t>
        </is>
      </c>
    </row>
    <row r="6" ht="18.75" customHeight="1">
      <c r="A6" s="30" t="n"/>
      <c r="B6" s="13" t="inlineStr">
        <is>
          <t>มิเตอร์น้ำพัลส์ NPN 2หุน (⚠ แก้ราคาจริงจากลิงก์)</t>
        </is>
      </c>
      <c r="C6" s="14" t="n">
        <v>16</v>
      </c>
      <c r="D6" s="15" t="n">
        <v>350</v>
      </c>
      <c r="E6" s="16">
        <f>C6*D6</f>
        <v/>
      </c>
      <c r="F6" s="17" t="inlineStr">
        <is>
          <t>เปิดลิงก์ ✓</t>
        </is>
      </c>
    </row>
    <row r="7" ht="18.75" customHeight="1">
      <c r="A7" s="30" t="n"/>
      <c r="B7" s="18" t="inlineStr">
        <is>
          <t>รวมทั้งหมด</t>
        </is>
      </c>
      <c r="C7" s="19" t="n"/>
      <c r="D7" s="20" t="n"/>
      <c r="E7" s="20">
        <f>SUM(E5:E6)</f>
        <v/>
      </c>
      <c r="F7" s="21" t="n"/>
    </row>
    <row r="8" ht="18.75" customHeight="1">
      <c r="A8" s="30" t="n"/>
      <c r="B8" s="22" t="n"/>
      <c r="C8" s="23" t="n"/>
      <c r="D8" s="23" t="n"/>
      <c r="E8" s="24" t="n"/>
      <c r="F8" s="25" t="n"/>
    </row>
    <row r="9" ht="18.75" customHeight="1">
      <c r="A9" s="30" t="n"/>
      <c r="B9" s="31" t="n"/>
      <c r="C9" s="32" t="n"/>
      <c r="D9" s="32" t="n"/>
      <c r="E9" s="30" t="n"/>
      <c r="F9" s="30" t="n"/>
    </row>
    <row r="10" ht="18.75" customHeight="1">
      <c r="A10" s="30" t="n"/>
      <c r="B10" s="26" t="inlineStr">
        <is>
          <t>■ ช่องสีเหลือง = 'ราคา/หน่วย' แก้ได้ตรง ๆ → รวมทุกหน้าอัปเดตอัตโนมัติ (เป็นสูตร Excel)</t>
        </is>
      </c>
      <c r="C10" s="57" t="n"/>
      <c r="D10" s="57" t="n"/>
      <c r="E10" s="57" t="n"/>
      <c r="F10" s="58" t="n"/>
    </row>
    <row r="11" ht="18.75" customHeight="1">
      <c r="A11" s="30" t="n"/>
      <c r="B11" s="26" t="inlineStr">
        <is>
          <t>■ รวมตู้ enclosure (GLINK GCB-04) + เทอร์มินอล/ราง/สะพาน/สาย/แกลนด์ แล้ว · ยังไม่รวม ค่าติดตั้ง/แรงงาน</t>
        </is>
      </c>
      <c r="C11" s="57" t="n"/>
      <c r="D11" s="57" t="n"/>
      <c r="E11" s="57" t="n"/>
      <c r="F11" s="58" t="n"/>
    </row>
    <row r="12" ht="18.75" customHeight="1">
      <c r="A12" s="30" t="n"/>
      <c r="B12" s="26" t="inlineStr">
        <is>
          <t>■ PSU อัปเกรดเป็น MEAN WELL แท้ (Shopee): MDR-60-24 (850฿) + MDR-20-5 (645฿) ต่อตู้ — ทนกว่าโคลน</t>
        </is>
      </c>
      <c r="C12" s="57" t="n"/>
      <c r="D12" s="57" t="n"/>
      <c r="E12" s="57" t="n"/>
      <c r="F12" s="58" t="n"/>
    </row>
    <row r="13" ht="18.75" customHeight="1">
      <c r="A13" s="30" t="n"/>
      <c r="B13" s="26" t="inlineStr">
        <is>
          <t>■ ยุบเหลือ 1 ตู้ (น้ำ+ไฟ) · opto 32CH (16CH×2) อ่านพัลส์น้ำ · RS485 ×2 บัส (มิเตอร์ไฟ DDS238 Modbus + สำรอง)</t>
        </is>
      </c>
      <c r="C13" s="57" t="n"/>
      <c r="D13" s="57" t="n"/>
      <c r="E13" s="57" t="n"/>
      <c r="F13" s="58" t="n"/>
    </row>
    <row r="14" ht="18.75" customHeight="1">
      <c r="A14" s="30" t="n"/>
      <c r="B14" s="26" t="inlineStr">
        <is>
          <t>■ opto 32CH = 679.95×2 = 1,359.90฿ (ลิงก์เดิม 16CH×2) · มิเตอร์น้ำ 2หุน ~350฿ · TTL-RS485 DIN rail (Waveshare B) ~490฿ ×2 — แก้ช่องเหลืองได้</t>
        </is>
      </c>
      <c r="C14" s="57" t="n"/>
      <c r="D14" s="57" t="n"/>
      <c r="E14" s="57" t="n"/>
      <c r="F14" s="58" t="n"/>
    </row>
  </sheetData>
  <mergeCells count="5">
    <mergeCell ref="B12:F12"/>
    <mergeCell ref="B10:F10"/>
    <mergeCell ref="B11:F11"/>
    <mergeCell ref="B14:F14"/>
    <mergeCell ref="B13:F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2026-08-20T17:34:09Z</dcterms:created>
  <dcterms:modified xmlns:dcterms="http://purl.org/dc/terms/" xmlns:xsi="http://www.w3.org/2001/XMLSchema-instance" xsi:type="dcterms:W3CDTF">2026-08-20T17:42:25Z</dcterms:modified>
</cp:coreProperties>
</file>